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PT serah sejak 53" sheetId="1" r:id="rId4"/>
  </sheets>
  <definedNames>
    <definedName name="_xlnm.Print_Area" localSheetId="0">'UPT serah sejak 53'!$A$221:$M$254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<sst xmlns="http://schemas.openxmlformats.org/spreadsheetml/2006/main" uniqueCount="519">
  <si>
    <t xml:space="preserve">UNIT PEMUKIMAN TRANSMIGRASI (UPT) YANG DI SERAHKAN KEPADA </t>
  </si>
  <si>
    <t>PEMERINTAH DAERAH KALSEL SEJAK PRA PELITA  1953  S/D  TAHUN 2025</t>
  </si>
  <si>
    <t>Up date : Januari 2025</t>
  </si>
  <si>
    <t>NO</t>
  </si>
  <si>
    <t>KABUPATEN/</t>
  </si>
  <si>
    <t>POLA</t>
  </si>
  <si>
    <t>PENEMPATAN AWAL</t>
  </si>
  <si>
    <t>PENYERAHAN KE PEMDA</t>
  </si>
  <si>
    <t xml:space="preserve">NAMA DESA </t>
  </si>
  <si>
    <t>PERMASALAHAN</t>
  </si>
  <si>
    <t>LOKASI</t>
  </si>
  <si>
    <t>USAHA</t>
  </si>
  <si>
    <t>TAHUN</t>
  </si>
  <si>
    <t>KK</t>
  </si>
  <si>
    <t>JIWA</t>
  </si>
  <si>
    <t>SAAT INI</t>
  </si>
  <si>
    <t>I</t>
  </si>
  <si>
    <t>TAPIN :</t>
  </si>
  <si>
    <t>1.</t>
  </si>
  <si>
    <t>Tambarang dan Suato</t>
  </si>
  <si>
    <t>TPLK</t>
  </si>
  <si>
    <t>1973/1975</t>
  </si>
  <si>
    <t>24-11-1977</t>
  </si>
  <si>
    <t>Suato Baru</t>
  </si>
  <si>
    <t>2.</t>
  </si>
  <si>
    <t>Hatungun</t>
  </si>
  <si>
    <t>1973/1974</t>
  </si>
  <si>
    <t>Bagak</t>
  </si>
  <si>
    <t>3.</t>
  </si>
  <si>
    <t>Sidodadi</t>
  </si>
  <si>
    <t>24-11-1997</t>
  </si>
  <si>
    <t>Sabah</t>
  </si>
  <si>
    <t>4.</t>
  </si>
  <si>
    <t>Parandakan</t>
  </si>
  <si>
    <t>5.</t>
  </si>
  <si>
    <t>Miawa</t>
  </si>
  <si>
    <t>6.</t>
  </si>
  <si>
    <t>Ayunan papan</t>
  </si>
  <si>
    <t>TPLB</t>
  </si>
  <si>
    <t>Ayunan Papan</t>
  </si>
  <si>
    <t>7.</t>
  </si>
  <si>
    <t>Rawa Muning SP 1</t>
  </si>
  <si>
    <t>1993/1994</t>
  </si>
  <si>
    <t>-</t>
  </si>
  <si>
    <t>Papagan Makmur</t>
  </si>
  <si>
    <t>8.</t>
  </si>
  <si>
    <t>Rawa Muning SP 2</t>
  </si>
  <si>
    <t>1994/1995</t>
  </si>
  <si>
    <t>9.</t>
  </si>
  <si>
    <t>Rawa Muning SP 3</t>
  </si>
  <si>
    <t>1995/1996</t>
  </si>
  <si>
    <t>J u m l a h     (I)   ……</t>
  </si>
  <si>
    <t>II</t>
  </si>
  <si>
    <t>HULU SUNGAI UTARA :</t>
  </si>
  <si>
    <t>10.</t>
  </si>
  <si>
    <t>PIR Paringin I</t>
  </si>
  <si>
    <t>PIRSUS</t>
  </si>
  <si>
    <t>1988/1991</t>
  </si>
  <si>
    <t>13-2-1993</t>
  </si>
  <si>
    <t>Mihu</t>
  </si>
  <si>
    <t>11.</t>
  </si>
  <si>
    <t>PIR Paringin II</t>
  </si>
  <si>
    <t>1989/1991</t>
  </si>
  <si>
    <t>15-2-1993</t>
  </si>
  <si>
    <t>Buntu Karam</t>
  </si>
  <si>
    <t>12.</t>
  </si>
  <si>
    <t>PIR Paringin III</t>
  </si>
  <si>
    <t>1988/1990</t>
  </si>
  <si>
    <t>26-2-1994</t>
  </si>
  <si>
    <t>Sirap</t>
  </si>
  <si>
    <t>13.</t>
  </si>
  <si>
    <t>PIR Paringin IV</t>
  </si>
  <si>
    <t>1988/1992</t>
  </si>
  <si>
    <t>30-1-1995</t>
  </si>
  <si>
    <t>Haruway</t>
  </si>
  <si>
    <t>Gunung Riut</t>
  </si>
  <si>
    <t>14.</t>
  </si>
  <si>
    <t>Pawalutan</t>
  </si>
  <si>
    <t>18-01-2005</t>
  </si>
  <si>
    <t>15.</t>
  </si>
  <si>
    <t>Tawahan</t>
  </si>
  <si>
    <t>J u m l a h     (II)   ……</t>
  </si>
  <si>
    <t>III</t>
  </si>
  <si>
    <t>BALANGAN :</t>
  </si>
  <si>
    <t>16.</t>
  </si>
  <si>
    <t>Batu Mandi</t>
  </si>
  <si>
    <t>25-01-2005</t>
  </si>
  <si>
    <t>Sei Anyar</t>
  </si>
  <si>
    <t>17.</t>
  </si>
  <si>
    <t>28-12-2008</t>
  </si>
  <si>
    <t>Lajar Papuyuan/Matang Hanau</t>
  </si>
  <si>
    <t>2008/2009</t>
  </si>
  <si>
    <t>J u m l a h     (III)   ……</t>
  </si>
  <si>
    <t>IV</t>
  </si>
  <si>
    <t>TABALONG :</t>
  </si>
  <si>
    <t>18.</t>
  </si>
  <si>
    <t>Masingai</t>
  </si>
  <si>
    <t>1977/1978</t>
  </si>
  <si>
    <t>24-9-1992</t>
  </si>
  <si>
    <t>Masingai II</t>
  </si>
  <si>
    <t>19.</t>
  </si>
  <si>
    <t>Kambitin I</t>
  </si>
  <si>
    <t>1984/1985</t>
  </si>
  <si>
    <t>26-2-1991</t>
  </si>
  <si>
    <t>Kembang Kuning</t>
  </si>
  <si>
    <t>20.</t>
  </si>
  <si>
    <t>Kambitin II</t>
  </si>
  <si>
    <t>1985/1986</t>
  </si>
  <si>
    <t>21.</t>
  </si>
  <si>
    <t>PIRSUS Muara Uya Unit Palapi</t>
  </si>
  <si>
    <t>13-2-1992</t>
  </si>
  <si>
    <t>Bongkang</t>
  </si>
  <si>
    <t>22.</t>
  </si>
  <si>
    <t>PIRSUS Muara Uya Unit Uwie</t>
  </si>
  <si>
    <t>Uwie</t>
  </si>
  <si>
    <t>- 2 -</t>
  </si>
  <si>
    <t>23.</t>
  </si>
  <si>
    <t>Simpung Layung</t>
  </si>
  <si>
    <t>24.</t>
  </si>
  <si>
    <t>PIRSUS Muara Uya Unit Ribang</t>
  </si>
  <si>
    <t>Hayup</t>
  </si>
  <si>
    <t>25.</t>
  </si>
  <si>
    <t>PIRSUS Muara Uya Mahe</t>
  </si>
  <si>
    <t>1987/1988</t>
  </si>
  <si>
    <t>Waling</t>
  </si>
  <si>
    <t>26.</t>
  </si>
  <si>
    <t>PIRSUS Muara Uya Pujung</t>
  </si>
  <si>
    <t>1988/1989</t>
  </si>
  <si>
    <t>24-2-1994</t>
  </si>
  <si>
    <t>Bumi Makmur</t>
  </si>
  <si>
    <t>27.</t>
  </si>
  <si>
    <t>HTI Sungai Misim</t>
  </si>
  <si>
    <t>HTI</t>
  </si>
  <si>
    <t>28.</t>
  </si>
  <si>
    <t>HTI Sungai Kumap</t>
  </si>
  <si>
    <t>J u m l a h     (IV)   ……</t>
  </si>
  <si>
    <t>V</t>
  </si>
  <si>
    <t>TANAH LAUT :</t>
  </si>
  <si>
    <t>29.</t>
  </si>
  <si>
    <t>Takisung</t>
  </si>
  <si>
    <t>10-10-1963</t>
  </si>
  <si>
    <t>Batu Tengah</t>
  </si>
  <si>
    <t>30.</t>
  </si>
  <si>
    <t>Tajau Pecah</t>
  </si>
  <si>
    <t>1975/76/77</t>
  </si>
  <si>
    <t>21-4-1990</t>
  </si>
  <si>
    <t>Sumber Mulia</t>
  </si>
  <si>
    <t>31.</t>
  </si>
  <si>
    <t>Batu Tungku</t>
  </si>
  <si>
    <t>24-02-1988</t>
  </si>
  <si>
    <t>Suka Ramah</t>
  </si>
  <si>
    <t>32.</t>
  </si>
  <si>
    <t>Sebamban V</t>
  </si>
  <si>
    <t>1980/1981</t>
  </si>
  <si>
    <t>22-01-1988</t>
  </si>
  <si>
    <t>Sumber Jaya</t>
  </si>
  <si>
    <t>Kebun Raya</t>
  </si>
  <si>
    <t>Mekar Sari</t>
  </si>
  <si>
    <t>Bukit Mulya</t>
  </si>
  <si>
    <t>Sebamban Baru</t>
  </si>
  <si>
    <t>33.</t>
  </si>
  <si>
    <t xml:space="preserve">PIR Tebu Pelaihari Pulau Sari / </t>
  </si>
  <si>
    <t>15-02-1990</t>
  </si>
  <si>
    <t>Pulau Sari</t>
  </si>
  <si>
    <t xml:space="preserve">Ujung Batu </t>
  </si>
  <si>
    <t>Ujung Batu</t>
  </si>
  <si>
    <t>34.</t>
  </si>
  <si>
    <t>PIR Tebu Martadah</t>
  </si>
  <si>
    <t>1986/1987</t>
  </si>
  <si>
    <t>Martadah Baru</t>
  </si>
  <si>
    <t>35.</t>
  </si>
  <si>
    <t>PIR Tebu Kait-Kait</t>
  </si>
  <si>
    <t>Kait-Kait Baru</t>
  </si>
  <si>
    <t>36.</t>
  </si>
  <si>
    <t>Jorong Jalur</t>
  </si>
  <si>
    <t>26-02-1991</t>
  </si>
  <si>
    <t>Jorong Alur</t>
  </si>
  <si>
    <t>37.</t>
  </si>
  <si>
    <t xml:space="preserve">PIR Tebu Kampung Baru </t>
  </si>
  <si>
    <t>13-02-1992</t>
  </si>
  <si>
    <t>Kampung Baru</t>
  </si>
  <si>
    <t>38.</t>
  </si>
  <si>
    <t>PIR Tebu Tanjung</t>
  </si>
  <si>
    <t>15-02-1997</t>
  </si>
  <si>
    <t>Tanjung</t>
  </si>
  <si>
    <t>39.</t>
  </si>
  <si>
    <t>PIR Tebu Tabing Siring</t>
  </si>
  <si>
    <t>1987/1989</t>
  </si>
  <si>
    <t>15-02-1993</t>
  </si>
  <si>
    <t>Tebing Siring</t>
  </si>
  <si>
    <t>40.</t>
  </si>
  <si>
    <t>PIR Tebu Telaga</t>
  </si>
  <si>
    <t>Karang Taruna</t>
  </si>
  <si>
    <t>41.</t>
  </si>
  <si>
    <t>PIR Tebu P.Linuh,Damar Lima</t>
  </si>
  <si>
    <t>1989/1990</t>
  </si>
  <si>
    <t>26-02-1994</t>
  </si>
  <si>
    <t>Damar Lima</t>
  </si>
  <si>
    <t>Pemalongan</t>
  </si>
  <si>
    <t>Pantai Linuh</t>
  </si>
  <si>
    <t>42.</t>
  </si>
  <si>
    <t>Jorong Asam-Asam I</t>
  </si>
  <si>
    <t>1990/1991</t>
  </si>
  <si>
    <t>30-01-1995</t>
  </si>
  <si>
    <t xml:space="preserve">Jorong Asam-Asam </t>
  </si>
  <si>
    <t>43.</t>
  </si>
  <si>
    <t>Jorong Asam-Asam II</t>
  </si>
  <si>
    <t>1991/1992</t>
  </si>
  <si>
    <t>19-01-1996</t>
  </si>
  <si>
    <t>44.</t>
  </si>
  <si>
    <t>Tanjung Dewa</t>
  </si>
  <si>
    <t>17-09-1998</t>
  </si>
  <si>
    <t>Batu Bungkuk</t>
  </si>
  <si>
    <t>- 3 -</t>
  </si>
  <si>
    <t>45.</t>
  </si>
  <si>
    <t xml:space="preserve">Jorong Alur </t>
  </si>
  <si>
    <t>Sabuhur</t>
  </si>
  <si>
    <t>46.</t>
  </si>
  <si>
    <t xml:space="preserve">Damit Hulu </t>
  </si>
  <si>
    <t>Damit Hulu</t>
  </si>
  <si>
    <t>47.</t>
  </si>
  <si>
    <t>Jilatan Alur</t>
  </si>
  <si>
    <t>21-09-1999</t>
  </si>
  <si>
    <t>48.</t>
  </si>
  <si>
    <t>Pandan Sari</t>
  </si>
  <si>
    <t>1996/1997</t>
  </si>
  <si>
    <t>01-11-2000</t>
  </si>
  <si>
    <t>49.</t>
  </si>
  <si>
    <t>Kayu Habang</t>
  </si>
  <si>
    <t>1997/1998</t>
  </si>
  <si>
    <t>50.</t>
  </si>
  <si>
    <t>26-12-2007</t>
  </si>
  <si>
    <t>51.</t>
  </si>
  <si>
    <t>Sungai Pinang</t>
  </si>
  <si>
    <t>J u m l a h     (V)   ……</t>
  </si>
  <si>
    <t>VI</t>
  </si>
  <si>
    <t>BARITO KUALA :</t>
  </si>
  <si>
    <t>52.</t>
  </si>
  <si>
    <t xml:space="preserve">Tamban </t>
  </si>
  <si>
    <t>53.</t>
  </si>
  <si>
    <t xml:space="preserve">Marabahan </t>
  </si>
  <si>
    <t>54.</t>
  </si>
  <si>
    <t>Balandean</t>
  </si>
  <si>
    <t>55.</t>
  </si>
  <si>
    <t>Barambai</t>
  </si>
  <si>
    <t>1969/1970</t>
  </si>
  <si>
    <t>Kolam Kiri</t>
  </si>
  <si>
    <t>Kolam Kanan</t>
  </si>
  <si>
    <t>56.</t>
  </si>
  <si>
    <t>Belawang</t>
  </si>
  <si>
    <t>25-06-1983</t>
  </si>
  <si>
    <t>Kolam Makmur</t>
  </si>
  <si>
    <t>57.</t>
  </si>
  <si>
    <t xml:space="preserve">Tabunganen </t>
  </si>
  <si>
    <t>1979/1980</t>
  </si>
  <si>
    <t>19-01-1987</t>
  </si>
  <si>
    <t>Tanggul Rejo</t>
  </si>
  <si>
    <t>58.</t>
  </si>
  <si>
    <t>Sei Muhur</t>
  </si>
  <si>
    <t>Danau Karya</t>
  </si>
  <si>
    <t>59.</t>
  </si>
  <si>
    <t>Sakalagun</t>
  </si>
  <si>
    <t>Dwi Puspitasari</t>
  </si>
  <si>
    <t>60.</t>
  </si>
  <si>
    <t xml:space="preserve">Sei Seluang </t>
  </si>
  <si>
    <t>Simpang Jaya</t>
  </si>
  <si>
    <t>61.</t>
  </si>
  <si>
    <t>Sei Puntik I / Terantang</t>
  </si>
  <si>
    <t>1982/1983</t>
  </si>
  <si>
    <t>Karang Indah</t>
  </si>
  <si>
    <t>62.</t>
  </si>
  <si>
    <t>Sei Puntik II / Danda Besar</t>
  </si>
  <si>
    <t xml:space="preserve">Danda Jaya </t>
  </si>
  <si>
    <t>63.</t>
  </si>
  <si>
    <t>Marabahan SP.1</t>
  </si>
  <si>
    <t>23-12-2002</t>
  </si>
  <si>
    <t>Sidomakmur</t>
  </si>
  <si>
    <t>64.</t>
  </si>
  <si>
    <t>Marabahan SP.2</t>
  </si>
  <si>
    <t>1998/1999</t>
  </si>
  <si>
    <t>05-01-2003</t>
  </si>
  <si>
    <t>65.</t>
  </si>
  <si>
    <t>Bahandang Sp.1</t>
  </si>
  <si>
    <t>2002/2005</t>
  </si>
  <si>
    <t>04-12-2008</t>
  </si>
  <si>
    <t>Bahandang</t>
  </si>
  <si>
    <t>66.</t>
  </si>
  <si>
    <t>Bahandang Sp.2</t>
  </si>
  <si>
    <t>2003/2004</t>
  </si>
  <si>
    <t>Antaran Segara/Tatah Layung</t>
  </si>
  <si>
    <t>67.</t>
  </si>
  <si>
    <t>Tumih Roham Raya</t>
  </si>
  <si>
    <t>1999/2001</t>
  </si>
  <si>
    <t>04-01-2006</t>
  </si>
  <si>
    <t>68.</t>
  </si>
  <si>
    <t>Cahaya Baru/Sempurna</t>
  </si>
  <si>
    <t>26-10-2009</t>
  </si>
  <si>
    <t>Cahaya Baru Sampurna</t>
  </si>
  <si>
    <t>69.</t>
  </si>
  <si>
    <t>Simpang Arja/Sinar Baru</t>
  </si>
  <si>
    <t>2004/2007</t>
  </si>
  <si>
    <t>Sinar Baru</t>
  </si>
  <si>
    <t>70.</t>
  </si>
  <si>
    <t>Simpang Nungki</t>
  </si>
  <si>
    <t>2005/2006</t>
  </si>
  <si>
    <t>71.</t>
  </si>
  <si>
    <t>Jejangkit Timur</t>
  </si>
  <si>
    <t>Jejangkit</t>
  </si>
  <si>
    <t>J u m l a h     (VI)   ……</t>
  </si>
  <si>
    <t>VII</t>
  </si>
  <si>
    <t>KOTA BARU :</t>
  </si>
  <si>
    <t>72.</t>
  </si>
  <si>
    <t xml:space="preserve">Berangas </t>
  </si>
  <si>
    <t>Langkang Lama</t>
  </si>
  <si>
    <t>73.</t>
  </si>
  <si>
    <t>Sebelimbingan</t>
  </si>
  <si>
    <t>74.</t>
  </si>
  <si>
    <t>Sebamban I</t>
  </si>
  <si>
    <t>14-03-1985</t>
  </si>
  <si>
    <t>Sari Mulya</t>
  </si>
  <si>
    <t>Margamulia</t>
  </si>
  <si>
    <t>Trimulia</t>
  </si>
  <si>
    <t>Sarimulia</t>
  </si>
  <si>
    <t>Karang Intan</t>
  </si>
  <si>
    <t>- 4 -</t>
  </si>
  <si>
    <t>75.</t>
  </si>
  <si>
    <t>Sebamban II</t>
  </si>
  <si>
    <t>22-12-1988</t>
  </si>
  <si>
    <t>Banjarsari</t>
  </si>
  <si>
    <t>76.</t>
  </si>
  <si>
    <t>Sebamban III</t>
  </si>
  <si>
    <t>Kertabuana</t>
  </si>
  <si>
    <t>77.</t>
  </si>
  <si>
    <t>Batulicin I</t>
  </si>
  <si>
    <t>Manunggal</t>
  </si>
  <si>
    <t>19-01-1984</t>
  </si>
  <si>
    <t>19-01-1098</t>
  </si>
  <si>
    <t>Harapan Maju</t>
  </si>
  <si>
    <t>Sepakat</t>
  </si>
  <si>
    <t>78.</t>
  </si>
  <si>
    <t>Sebamban IV</t>
  </si>
  <si>
    <t>Sumber Makmur</t>
  </si>
  <si>
    <t>Tegal Sari</t>
  </si>
  <si>
    <t>Purwodadi</t>
  </si>
  <si>
    <t>Sumber baru</t>
  </si>
  <si>
    <t>Wonorejo</t>
  </si>
  <si>
    <t>79.</t>
  </si>
  <si>
    <t>Sebamban VI</t>
  </si>
  <si>
    <t>1981/1982</t>
  </si>
  <si>
    <t>GiriMulya</t>
  </si>
  <si>
    <t>Mustika</t>
  </si>
  <si>
    <t>Waringin Tunggal</t>
  </si>
  <si>
    <t>80.</t>
  </si>
  <si>
    <t>BatuLicin II</t>
  </si>
  <si>
    <t>24-02-1982</t>
  </si>
  <si>
    <t>Sidomulyo</t>
  </si>
  <si>
    <t>Dukuh Rejo</t>
  </si>
  <si>
    <t>Buluh Rejo</t>
  </si>
  <si>
    <t>Rejo Sari</t>
  </si>
  <si>
    <t>Suka Damai</t>
  </si>
  <si>
    <t>81.</t>
  </si>
  <si>
    <t>BatuLicin PIR</t>
  </si>
  <si>
    <t>Pemulung Ulin</t>
  </si>
  <si>
    <t>Rejo Winangun</t>
  </si>
  <si>
    <t>82.</t>
  </si>
  <si>
    <t>BatuLicin III</t>
  </si>
  <si>
    <t>Teguh Rejo</t>
  </si>
  <si>
    <t>Mandala</t>
  </si>
  <si>
    <t>Pelanjau Baru</t>
  </si>
  <si>
    <t>Sido Mulyo</t>
  </si>
  <si>
    <t>83.</t>
  </si>
  <si>
    <t>Sei Durian (Pamukan I)</t>
  </si>
  <si>
    <t>Rantau Jaya</t>
  </si>
  <si>
    <t>84.</t>
  </si>
  <si>
    <t>Pamukan II</t>
  </si>
  <si>
    <t>Pamuka Indah</t>
  </si>
  <si>
    <t>- 5 -</t>
  </si>
  <si>
    <t>85.</t>
  </si>
  <si>
    <t>Sei Kupang</t>
  </si>
  <si>
    <t>Kumpang Jaya</t>
  </si>
  <si>
    <t>Pantai Baru</t>
  </si>
  <si>
    <t>Suka Maju</t>
  </si>
  <si>
    <t>86.</t>
  </si>
  <si>
    <t>Klumpang</t>
  </si>
  <si>
    <t>Gunung Calang</t>
  </si>
  <si>
    <t>Sekandis</t>
  </si>
  <si>
    <t>Sukadana</t>
  </si>
  <si>
    <t>87.</t>
  </si>
  <si>
    <t>Sebamban VI Lasung</t>
  </si>
  <si>
    <t>Mustika Baru</t>
  </si>
  <si>
    <t>88.</t>
  </si>
  <si>
    <t>Klumpang AC Sangsang</t>
  </si>
  <si>
    <t>13-02-1990</t>
  </si>
  <si>
    <t>Sangsang</t>
  </si>
  <si>
    <t>89.</t>
  </si>
  <si>
    <t>Klumpang SP.C</t>
  </si>
  <si>
    <t>Talusi</t>
  </si>
  <si>
    <t>90.</t>
  </si>
  <si>
    <t>Batulicin PIR</t>
  </si>
  <si>
    <t>PIR</t>
  </si>
  <si>
    <t>Batulicin</t>
  </si>
  <si>
    <t>91.</t>
  </si>
  <si>
    <t>Berangas Langlang / Bekambit</t>
  </si>
  <si>
    <t>Rawa Indah</t>
  </si>
  <si>
    <t>92.</t>
  </si>
  <si>
    <t>Batulicin Irigasi</t>
  </si>
  <si>
    <t>93.</t>
  </si>
  <si>
    <t xml:space="preserve">PIR Pamuka Sei Nyamuk </t>
  </si>
  <si>
    <t xml:space="preserve">PIR </t>
  </si>
  <si>
    <t>94.</t>
  </si>
  <si>
    <t>Kumpang SP . E</t>
  </si>
  <si>
    <t>Mulyodadi</t>
  </si>
  <si>
    <t>95.</t>
  </si>
  <si>
    <t>Sei Nyamuk II</t>
  </si>
  <si>
    <t>96.</t>
  </si>
  <si>
    <t>Pamukan Lintang</t>
  </si>
  <si>
    <t>1991/1993</t>
  </si>
  <si>
    <t>Lintang Jaya</t>
  </si>
  <si>
    <t>97.</t>
  </si>
  <si>
    <t xml:space="preserve">Sei Durian </t>
  </si>
  <si>
    <t>1992/1993</t>
  </si>
  <si>
    <t>Trombung Sari</t>
  </si>
  <si>
    <t>98.</t>
  </si>
  <si>
    <t>Semaras SP.2</t>
  </si>
  <si>
    <t>Bandar Raya</t>
  </si>
  <si>
    <t>99.</t>
  </si>
  <si>
    <t xml:space="preserve">HTI Satui </t>
  </si>
  <si>
    <t>Arum Sari</t>
  </si>
  <si>
    <t>100.</t>
  </si>
  <si>
    <t>Pamukan Sengayam SP.I</t>
  </si>
  <si>
    <t xml:space="preserve">Mayang Sari </t>
  </si>
  <si>
    <t>101.</t>
  </si>
  <si>
    <t xml:space="preserve">Bekambit </t>
  </si>
  <si>
    <t>Bekambit Sari</t>
  </si>
  <si>
    <t>102.</t>
  </si>
  <si>
    <t>Pamukan Sengayam SP.2</t>
  </si>
  <si>
    <t>Marga Jaya]</t>
  </si>
  <si>
    <t>103.</t>
  </si>
  <si>
    <t>Batulicin SP 2</t>
  </si>
  <si>
    <t>14-12-2002</t>
  </si>
  <si>
    <t>Karya Bhakti</t>
  </si>
  <si>
    <t>104.</t>
  </si>
  <si>
    <t>Sepagar SP 1</t>
  </si>
  <si>
    <t>13-12-2001</t>
  </si>
  <si>
    <t>Sumber Sari</t>
  </si>
  <si>
    <t>105.</t>
  </si>
  <si>
    <t>Sepagar Sp 2</t>
  </si>
  <si>
    <t>Subur Makmur</t>
  </si>
  <si>
    <t>106.</t>
  </si>
  <si>
    <t xml:space="preserve">Satui Timur </t>
  </si>
  <si>
    <t>107.</t>
  </si>
  <si>
    <t>Setiung Salimuran</t>
  </si>
  <si>
    <t>Selimuran</t>
  </si>
  <si>
    <t>108.</t>
  </si>
  <si>
    <t>Hampang</t>
  </si>
  <si>
    <t>2002/2003</t>
  </si>
  <si>
    <t>28-12-2009</t>
  </si>
  <si>
    <t>109.</t>
  </si>
  <si>
    <t>Pasir Sembaga</t>
  </si>
  <si>
    <t>110.</t>
  </si>
  <si>
    <t>Siayuh</t>
  </si>
  <si>
    <t>Desa Siayuh</t>
  </si>
  <si>
    <t xml:space="preserve">J u m l a h     (VII)   </t>
  </si>
  <si>
    <t>- 6 -</t>
  </si>
  <si>
    <t>VIII</t>
  </si>
  <si>
    <t>TANAH BUMBU :</t>
  </si>
  <si>
    <t>111.</t>
  </si>
  <si>
    <t>Jombang</t>
  </si>
  <si>
    <t>2004/2005</t>
  </si>
  <si>
    <t>14-08-2009</t>
  </si>
  <si>
    <t>112.</t>
  </si>
  <si>
    <t>Bukit Baru</t>
  </si>
  <si>
    <t>113.</t>
  </si>
  <si>
    <t>Angsana</t>
  </si>
  <si>
    <t xml:space="preserve">J u m l a h     (VIII)   </t>
  </si>
  <si>
    <t>IX</t>
  </si>
  <si>
    <t>BANJAR :</t>
  </si>
  <si>
    <t>114.</t>
  </si>
  <si>
    <t>Galam Rabah SP.1</t>
  </si>
  <si>
    <t>13-03-1999</t>
  </si>
  <si>
    <t xml:space="preserve">Ds . Simpang Lima </t>
  </si>
  <si>
    <t>115.</t>
  </si>
  <si>
    <t>Galam Rabah SP.2</t>
  </si>
  <si>
    <t>Ds . Karya Makmur</t>
  </si>
  <si>
    <t>116.</t>
  </si>
  <si>
    <t>Galam Rabah SP.3</t>
  </si>
  <si>
    <t>Ds . Sendang Jaya</t>
  </si>
  <si>
    <t>117.</t>
  </si>
  <si>
    <t>Riam Kanan SP. 1</t>
  </si>
  <si>
    <t>118.</t>
  </si>
  <si>
    <t>Riam Kanan SP .2</t>
  </si>
  <si>
    <t>05-12-2001</t>
  </si>
  <si>
    <t>119.</t>
  </si>
  <si>
    <t xml:space="preserve">Hakim </t>
  </si>
  <si>
    <t>P4HDR/TPLK</t>
  </si>
  <si>
    <t>Ds . Hakim</t>
  </si>
  <si>
    <t>120.</t>
  </si>
  <si>
    <t>Galam Rabah SP.4</t>
  </si>
  <si>
    <t>23-11-2000</t>
  </si>
  <si>
    <t>121.</t>
  </si>
  <si>
    <t>Galam Rabah SP.5</t>
  </si>
  <si>
    <t>122.</t>
  </si>
  <si>
    <t>Galam Rabah SP.6 / Belanti</t>
  </si>
  <si>
    <t>123.</t>
  </si>
  <si>
    <t>Belimbing Lama</t>
  </si>
  <si>
    <t>124.</t>
  </si>
  <si>
    <t>Cinta Puri</t>
  </si>
  <si>
    <t>J u m l a h     (IX)   …</t>
  </si>
  <si>
    <t>JUMLAH   ( I  S/D IX ) ……</t>
  </si>
  <si>
    <t xml:space="preserve"> </t>
  </si>
  <si>
    <t>Mengetahui :</t>
  </si>
  <si>
    <t>Banjarmasin,                 Oktober   2025</t>
  </si>
  <si>
    <t>Kepala Bidang Ketransmigrasian,</t>
  </si>
  <si>
    <t>Kepala Seksi PPSP&amp;Tempatan,</t>
  </si>
  <si>
    <t>Hj. Ina Yuliani, S.Sos, M.Si, M.IP</t>
  </si>
  <si>
    <t>Anak Agung Made Subiantara, S.T</t>
  </si>
  <si>
    <t>NIP.: 19690729 199010 2 001</t>
  </si>
  <si>
    <t>NIP.: 19741227 200312 1 005</t>
  </si>
  <si>
    <t>Data UPT diserahkan</t>
  </si>
</sst>
</file>

<file path=xl/styles.xml><?xml version="1.0" encoding="utf-8"?>
<styleSheet xmlns="http://schemas.openxmlformats.org/spreadsheetml/2006/main" xml:space="preserve">
  <numFmts count="1">
    <numFmt numFmtId="164" formatCode="yyyy\-mm\-dd;@"/>
  </numFmts>
  <fonts count="11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0"/>
      <i val="1"/>
      <strike val="0"/>
      <u val="none"/>
      <sz val="8"/>
      <color rgb="FF000000"/>
      <name val="Arial"/>
    </font>
    <font>
      <b val="0"/>
      <i val="0"/>
      <strike val="0"/>
      <u val="none"/>
      <sz val="14"/>
      <color rgb="FF000000"/>
      <name val="Arial"/>
    </font>
    <font>
      <b val="0"/>
      <i val="1"/>
      <strike val="0"/>
      <u val="none"/>
      <sz val="6"/>
      <color rgb="FF000000"/>
      <name val="Arial Narrow"/>
    </font>
    <font>
      <b val="0"/>
      <i val="0"/>
      <strike val="0"/>
      <u val="single"/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rgb="FFFFFF9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9CC00"/>
        <bgColor rgb="FF000000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9">
    <xf xfId="0" fontId="0" numFmtId="0" fillId="2" borderId="0" applyFont="0" applyNumberFormat="0" applyFill="0" applyBorder="0" applyAlignment="0" applyProtection="true">
      <protection hidden="false"/>
    </xf>
    <xf xfId="0" fontId="0" numFmtId="0" fillId="2" borderId="0" applyFont="0" applyNumberFormat="0" applyFill="0" applyBorder="0" applyAlignment="0" applyProtection="true">
      <protection hidden="false"/>
    </xf>
    <xf xfId="0" fontId="0" numFmtId="0" fillId="2" borderId="1" applyFont="0" applyNumberFormat="0" applyFill="0" applyBorder="1" applyAlignment="1" applyProtection="true">
      <alignment horizontal="center" vertical="bottom" textRotation="0" wrapText="false" shrinkToFit="false"/>
      <protection hidden="false"/>
    </xf>
    <xf xfId="0" fontId="0" numFmtId="0" fillId="2" borderId="2" applyFont="0" applyNumberFormat="0" applyFill="0" applyBorder="1" applyAlignment="1" applyProtection="true">
      <alignment horizontal="center" vertical="bottom" textRotation="0" wrapText="false" shrinkToFit="false"/>
      <protection hidden="false"/>
    </xf>
    <xf xfId="0" fontId="0" numFmtId="0" fillId="2" borderId="0" applyFont="0" applyNumberFormat="0" applyFill="0" applyBorder="0" applyAlignment="1" applyProtection="true">
      <alignment horizontal="left" vertical="bottom" textRotation="0" wrapText="false" shrinkToFit="false"/>
      <protection hidden="false"/>
    </xf>
    <xf xfId="0" fontId="0" numFmtId="0" fillId="2" borderId="0" applyFont="0" applyNumberFormat="0" applyFill="0" applyBorder="0" applyAlignment="0" applyProtection="true">
      <protection hidden="false"/>
    </xf>
    <xf xfId="0" fontId="0" numFmtId="0" fillId="2" borderId="3" applyFont="0" applyNumberFormat="0" applyFill="0" applyBorder="1" applyAlignment="0" applyProtection="true">
      <protection hidden="false"/>
    </xf>
    <xf xfId="0" fontId="0" numFmtId="0" fillId="2" borderId="4" applyFont="0" applyNumberFormat="0" applyFill="0" applyBorder="1" applyAlignment="0" applyProtection="true">
      <protection hidden="false"/>
    </xf>
    <xf xfId="0" fontId="1" numFmtId="0" fillId="2" borderId="5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hidden="false"/>
    </xf>
    <xf xfId="0" fontId="1" numFmtId="0" fillId="2" borderId="6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0" numFmtId="0" fillId="2" borderId="2" applyFont="0" applyNumberFormat="0" applyFill="0" applyBorder="1" applyAlignment="0" applyProtection="true">
      <protection hidden="false"/>
    </xf>
    <xf xfId="0" fontId="1" numFmtId="0" fillId="2" borderId="4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2" borderId="7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2" borderId="1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2" borderId="2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2" borderId="3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0" numFmtId="0" fillId="2" borderId="1" applyFont="0" applyNumberFormat="0" applyFill="0" applyBorder="1" applyAlignment="0" applyProtection="true">
      <protection hidden="false"/>
    </xf>
    <xf xfId="0" fontId="0" numFmtId="0" fillId="2" borderId="1" applyFont="0" applyNumberFormat="0" applyFill="0" applyBorder="1" applyAlignment="1" applyProtection="true">
      <alignment horizontal="left" vertical="bottom" textRotation="0" wrapText="false" shrinkToFit="false"/>
      <protection hidden="false"/>
    </xf>
    <xf xfId="0" fontId="0" numFmtId="0" fillId="2" borderId="8" applyFont="0" applyNumberFormat="0" applyFill="0" applyBorder="1" applyAlignment="0" applyProtection="true">
      <protection hidden="false"/>
    </xf>
    <xf xfId="0" fontId="0" numFmtId="0" fillId="2" borderId="2" applyFont="0" applyNumberFormat="0" applyFill="0" applyBorder="1" applyAlignment="0" applyProtection="true">
      <protection hidden="false"/>
    </xf>
    <xf xfId="0" fontId="1" numFmtId="0" fillId="2" borderId="2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0" numFmtId="0" fillId="2" borderId="2" applyFont="0" applyNumberFormat="0" applyFill="0" applyBorder="1" applyAlignment="1" applyProtection="true">
      <alignment horizontal="center" vertical="bottom" textRotation="0" wrapText="false" shrinkToFit="false"/>
      <protection hidden="false"/>
    </xf>
    <xf xfId="0" fontId="0" numFmtId="0" fillId="2" borderId="2" applyFont="0" applyNumberFormat="0" applyFill="0" applyBorder="1" applyAlignment="1" applyProtection="true">
      <alignment horizontal="left" vertical="bottom" textRotation="0" wrapText="false" shrinkToFit="false"/>
      <protection hidden="false"/>
    </xf>
    <xf xfId="0" fontId="0" numFmtId="0" fillId="2" borderId="2" applyFont="0" applyNumberFormat="0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2" borderId="2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2" borderId="2" applyFont="1" applyNumberFormat="0" applyFill="0" applyBorder="1" applyAlignment="0" applyProtection="true">
      <protection hidden="false"/>
    </xf>
    <xf xfId="0" fontId="0" numFmtId="14" fillId="2" borderId="2" applyFont="0" applyNumberFormat="1" applyFill="0" applyBorder="1" applyAlignment="1" applyProtection="true">
      <alignment horizontal="center" vertical="bottom" textRotation="0" wrapText="false" shrinkToFit="false"/>
      <protection hidden="false"/>
    </xf>
    <xf xfId="0" fontId="0" numFmtId="14" fillId="2" borderId="2" applyFont="0" applyNumberFormat="1" applyFill="0" applyBorder="1" applyAlignment="1" applyProtection="true">
      <alignment horizontal="center" vertical="bottom" textRotation="0" wrapText="false" shrinkToFit="false"/>
      <protection hidden="false"/>
    </xf>
    <xf xfId="0" fontId="2" numFmtId="0" fillId="2" borderId="2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" numFmtId="0" fillId="2" borderId="2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0" numFmtId="0" fillId="2" borderId="9" applyFont="0" applyNumberFormat="0" applyFill="0" applyBorder="1" applyAlignment="0" applyProtection="true">
      <protection hidden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0" numFmtId="3" fillId="2" borderId="2" applyFont="0" applyNumberFormat="1" applyFill="0" applyBorder="1" applyAlignment="0" applyProtection="true">
      <protection hidden="false"/>
    </xf>
    <xf xfId="0" fontId="1" numFmtId="0" fillId="2" borderId="2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0" numFmtId="0" fillId="2" borderId="2" applyFont="0" applyNumberFormat="0" applyFill="0" applyBorder="1" applyAlignment="1" applyProtection="true">
      <alignment horizontal="left" vertical="bottom" textRotation="0" wrapText="false" shrinkToFit="false"/>
      <protection hidden="false"/>
    </xf>
    <xf xfId="0" fontId="0" numFmtId="0" fillId="2" borderId="2" applyFont="0" applyNumberFormat="0" applyFill="0" applyBorder="1" applyAlignment="1" applyProtection="true">
      <alignment horizontal="left" vertical="bottom" textRotation="0" wrapText="false" shrinkToFit="false"/>
      <protection hidden="false"/>
    </xf>
    <xf xfId="0" fontId="0" numFmtId="0" fillId="2" borderId="2" applyFont="0" applyNumberFormat="0" applyFill="0" applyBorder="1" applyAlignment="1" applyProtection="true">
      <alignment horizontal="left" vertical="bottom" textRotation="0" wrapText="false" shrinkToFit="false"/>
      <protection hidden="false"/>
    </xf>
    <xf xfId="0" fontId="0" numFmtId="3" fillId="2" borderId="2" applyFont="0" applyNumberFormat="1" applyFill="0" applyBorder="1" applyAlignment="1" applyProtection="true">
      <alignment horizontal="right" vertical="bottom" textRotation="0" wrapText="false" shrinkToFit="false"/>
      <protection hidden="false"/>
    </xf>
    <xf xfId="0" fontId="1" numFmtId="3" fillId="2" borderId="2" applyFont="1" applyNumberFormat="1" applyFill="0" applyBorder="1" applyAlignment="1" applyProtection="true">
      <alignment horizontal="right" vertical="bottom" textRotation="0" wrapText="false" shrinkToFit="false"/>
      <protection hidden="false"/>
    </xf>
    <xf xfId="0" fontId="1" numFmtId="3" fillId="2" borderId="2" applyFont="1" applyNumberFormat="1" applyFill="0" applyBorder="1" applyAlignment="1" applyProtection="true">
      <alignment horizontal="right" vertical="bottom" textRotation="0" wrapText="false" shrinkToFit="false"/>
      <protection hidden="false"/>
    </xf>
    <xf xfId="0" fontId="0" numFmtId="3" fillId="2" borderId="2" applyFont="0" applyNumberFormat="1" applyFill="0" applyBorder="1" applyAlignment="1" applyProtection="true">
      <alignment horizontal="right" vertical="bottom" textRotation="0" wrapText="false" shrinkToFit="false"/>
      <protection hidden="false"/>
    </xf>
    <xf xfId="0" fontId="2" numFmtId="3" fillId="2" borderId="2" applyFont="1" applyNumberFormat="1" applyFill="0" applyBorder="1" applyAlignment="1" applyProtection="true">
      <alignment horizontal="right" vertical="bottom" textRotation="0" wrapText="false" shrinkToFit="false"/>
      <protection hidden="false"/>
    </xf>
    <xf xfId="0" fontId="0" numFmtId="3" fillId="2" borderId="2" applyFont="0" applyNumberFormat="1" applyFill="0" applyBorder="1" applyAlignment="1" applyProtection="true">
      <alignment horizontal="right" vertical="bottom" textRotation="0" wrapText="false" shrinkToFit="false"/>
      <protection hidden="false"/>
    </xf>
    <xf xfId="0" fontId="0" numFmtId="3" fillId="2" borderId="1" applyFont="0" applyNumberFormat="1" applyFill="0" applyBorder="1" applyAlignment="1" applyProtection="true">
      <alignment horizontal="right" vertical="bottom" textRotation="0" wrapText="false" shrinkToFit="false"/>
      <protection hidden="false"/>
    </xf>
    <xf xfId="0" fontId="0" numFmtId="3" fillId="2" borderId="0" applyFont="0" applyNumberFormat="1" applyFill="0" applyBorder="0" applyAlignment="1" applyProtection="true">
      <alignment horizontal="right" vertical="bottom" textRotation="0" wrapText="false" shrinkToFit="false"/>
      <protection hidden="false"/>
    </xf>
    <xf xfId="0" fontId="0" numFmtId="3" fillId="2" borderId="0" applyFont="0" applyNumberFormat="1" applyFill="0" applyBorder="0" applyAlignment="1" applyProtection="true">
      <alignment horizontal="right" vertical="bottom" textRotation="0" wrapText="false" shrinkToFit="false"/>
      <protection hidden="false"/>
    </xf>
    <xf xfId="0" fontId="0" numFmtId="0" fillId="2" borderId="10" applyFont="0" applyNumberFormat="0" applyFill="0" applyBorder="1" applyAlignment="0" applyProtection="true">
      <protection hidden="false"/>
    </xf>
    <xf xfId="0" fontId="0" numFmtId="0" fillId="2" borderId="9" applyFont="0" applyNumberFormat="0" applyFill="0" applyBorder="1" applyAlignment="1" applyProtection="true">
      <alignment horizontal="center" vertical="bottom" textRotation="0" wrapText="false" shrinkToFit="false"/>
      <protection hidden="false"/>
    </xf>
    <xf xfId="0" fontId="0" numFmtId="0" fillId="2" borderId="9" applyFont="0" applyNumberFormat="0" applyFill="0" applyBorder="1" applyAlignment="1" applyProtection="true">
      <alignment horizontal="left" vertical="bottom" textRotation="0" wrapText="false" shrinkToFit="false"/>
      <protection hidden="false"/>
    </xf>
    <xf xfId="0" fontId="3" numFmtId="0" fillId="2" borderId="1" applyFont="1" applyNumberFormat="0" applyFill="0" applyBorder="1" applyAlignment="0" applyProtection="true">
      <protection hidden="false"/>
    </xf>
    <xf xfId="0" fontId="0" numFmtId="0" fillId="2" borderId="4" applyFont="0" applyNumberFormat="0" applyFill="0" applyBorder="1" applyAlignment="1" applyProtection="true">
      <alignment horizontal="center" vertical="bottom" textRotation="0" wrapText="false" shrinkToFit="false"/>
      <protection hidden="false"/>
    </xf>
    <xf xfId="0" fontId="0" numFmtId="0" fillId="2" borderId="4" applyFont="0" applyNumberFormat="0" applyFill="0" applyBorder="1" applyAlignment="1" applyProtection="true">
      <alignment horizontal="center" vertical="bottom" textRotation="0" wrapText="false" shrinkToFit="false"/>
      <protection hidden="false"/>
    </xf>
    <xf xfId="0" fontId="0" numFmtId="3" fillId="2" borderId="4" applyFont="0" applyNumberFormat="1" applyFill="0" applyBorder="1" applyAlignment="1" applyProtection="true">
      <alignment horizontal="right" vertical="bottom" textRotation="0" wrapText="false" shrinkToFit="false"/>
      <protection hidden="false"/>
    </xf>
    <xf xfId="0" fontId="2" numFmtId="3" fillId="2" borderId="4" applyFont="1" applyNumberFormat="1" applyFill="0" applyBorder="1" applyAlignment="1" applyProtection="true">
      <alignment horizontal="right" vertical="bottom" textRotation="0" wrapText="false" shrinkToFit="false"/>
      <protection hidden="false"/>
    </xf>
    <xf xfId="0" fontId="0" numFmtId="0" fillId="2" borderId="4" applyFont="0" applyNumberFormat="0" applyFill="0" applyBorder="1" applyAlignment="1" applyProtection="true">
      <alignment horizontal="left" vertical="bottom" textRotation="0" wrapText="false" shrinkToFit="false"/>
      <protection hidden="false"/>
    </xf>
    <xf xfId="0" fontId="0" numFmtId="0" fillId="2" borderId="11" applyFont="0" applyNumberFormat="0" applyFill="0" applyBorder="1" applyAlignment="1" applyProtection="true">
      <alignment horizontal="center" vertical="bottom" textRotation="0" wrapText="false" shrinkToFit="false"/>
      <protection hidden="false"/>
    </xf>
    <xf xfId="0" fontId="0" numFmtId="0" fillId="2" borderId="11" applyFont="0" applyNumberFormat="0" applyFill="0" applyBorder="1" applyAlignment="0" applyProtection="true">
      <protection hidden="false"/>
    </xf>
    <xf xfId="0" fontId="0" numFmtId="0" fillId="2" borderId="11" applyFont="0" applyNumberFormat="0" applyFill="0" applyBorder="1" applyAlignment="1" applyProtection="true">
      <alignment horizontal="center" vertical="bottom" textRotation="0" wrapText="false" shrinkToFit="false"/>
      <protection hidden="false"/>
    </xf>
    <xf xfId="0" fontId="0" numFmtId="3" fillId="2" borderId="11" applyFont="0" applyNumberFormat="1" applyFill="0" applyBorder="1" applyAlignment="1" applyProtection="true">
      <alignment horizontal="right" vertical="bottom" textRotation="0" wrapText="false" shrinkToFit="false"/>
      <protection hidden="false"/>
    </xf>
    <xf xfId="0" fontId="2" numFmtId="3" fillId="2" borderId="11" applyFont="1" applyNumberFormat="1" applyFill="0" applyBorder="1" applyAlignment="1" applyProtection="true">
      <alignment horizontal="right" vertical="bottom" textRotation="0" wrapText="false" shrinkToFit="false"/>
      <protection hidden="false"/>
    </xf>
    <xf xfId="0" fontId="0" numFmtId="0" fillId="2" borderId="11" applyFont="0" applyNumberFormat="0" applyFill="0" applyBorder="1" applyAlignment="1" applyProtection="true">
      <alignment horizontal="left" vertical="bottom" textRotation="0" wrapText="false" shrinkToFit="false"/>
      <protection hidden="false"/>
    </xf>
    <xf xfId="0" fontId="3" numFmtId="0" fillId="2" borderId="12" applyFont="1" applyNumberFormat="0" applyFill="0" applyBorder="1" applyAlignment="0" applyProtection="true">
      <protection hidden="false"/>
    </xf>
    <xf xfId="0" fontId="0" numFmtId="0" fillId="2" borderId="13" applyFont="0" applyNumberFormat="0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2" borderId="4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1" numFmtId="0" fillId="2" borderId="11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2" borderId="11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4" numFmtId="0" fillId="2" borderId="14" applyFont="1" applyNumberFormat="0" applyFill="0" applyBorder="1" applyAlignment="0" applyProtection="true">
      <protection hidden="false"/>
    </xf>
    <xf xfId="0" fontId="4" numFmtId="0" fillId="2" borderId="15" applyFont="1" applyNumberFormat="0" applyFill="0" applyBorder="1" applyAlignment="0" applyProtection="true">
      <protection hidden="false"/>
    </xf>
    <xf xfId="0" fontId="0" numFmtId="0" fillId="2" borderId="15" applyFont="0" applyNumberFormat="0" applyFill="0" applyBorder="1" applyAlignment="0" applyProtection="true">
      <protection hidden="false"/>
    </xf>
    <xf xfId="0" fontId="0" numFmtId="164" fillId="2" borderId="2" applyFont="0" applyNumberFormat="1" applyFill="0" applyBorder="1" applyAlignment="1" applyProtection="true">
      <alignment horizontal="center" vertical="bottom" textRotation="0" wrapText="false" shrinkToFit="false"/>
      <protection hidden="false"/>
    </xf>
    <xf xfId="0" fontId="1" numFmtId="3" fillId="3" borderId="2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0" numFmtId="3" fillId="2" borderId="2" applyFont="0" applyNumberFormat="1" applyFill="0" applyBorder="1" applyAlignment="1" applyProtection="true">
      <alignment horizontal="right" vertical="bottom" textRotation="0" wrapText="false" shrinkToFit="false"/>
      <protection hidden="false"/>
    </xf>
    <xf xfId="0" fontId="1" numFmtId="0" fillId="3" borderId="2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0" fillId="3" borderId="2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0" fillId="4" borderId="2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0" fillId="2" borderId="2" applyFont="1" applyNumberFormat="0" applyFill="0" applyBorder="1" applyAlignment="1" applyProtection="true">
      <alignment horizontal="right" vertical="bottom" textRotation="0" wrapText="false" shrinkToFit="false"/>
      <protection hidden="false"/>
    </xf>
    <xf xfId="0" fontId="0" numFmtId="0" fillId="2" borderId="2" applyFont="0" applyNumberFormat="0" applyFill="0" applyBorder="1" applyAlignment="1" applyProtection="true">
      <alignment horizontal="center" vertical="bottom" textRotation="0" wrapText="false" shrinkToFit="false"/>
      <protection hidden="false"/>
    </xf>
    <xf xfId="0" fontId="0" numFmtId="0" fillId="4" borderId="2" applyFont="0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3" fillId="5" borderId="15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0" numFmtId="0" fillId="5" borderId="15" applyFont="0" applyNumberFormat="0" applyFill="1" applyBorder="1" applyAlignment="0" applyProtection="true">
      <protection hidden="false"/>
    </xf>
    <xf xfId="0" fontId="0" numFmtId="0" fillId="4" borderId="15" applyFont="0" applyNumberFormat="0" applyFill="1" applyBorder="1" applyAlignment="1" applyProtection="true">
      <alignment horizontal="center" vertical="bottom" textRotation="0" wrapText="false" shrinkToFit="false"/>
      <protection hidden="false"/>
    </xf>
    <xf xfId="0" fontId="5" numFmtId="0" fillId="2" borderId="11" applyFont="1" applyNumberFormat="0" applyFill="0" applyBorder="1" applyAlignment="1" applyProtection="true">
      <alignment horizontal="right" vertical="bottom" textRotation="0" wrapText="false" shrinkToFit="false"/>
      <protection hidden="false"/>
    </xf>
    <xf xfId="0" fontId="0" numFmtId="0" fillId="2" borderId="11" applyFont="0" applyNumberFormat="0" applyFill="0" applyBorder="1" applyAlignment="1" applyProtection="true">
      <alignment horizontal="right" vertical="bottom" textRotation="0" wrapText="false" shrinkToFit="false"/>
      <protection hidden="false"/>
    </xf>
    <xf xfId="0" fontId="0" numFmtId="0" fillId="2" borderId="9" applyFont="0" applyNumberFormat="0" applyFill="0" applyBorder="1" applyAlignment="1" applyProtection="true">
      <alignment horizontal="center" vertical="bottom" textRotation="0" wrapText="false" shrinkToFit="false"/>
      <protection hidden="false"/>
    </xf>
    <xf xfId="0" fontId="0" numFmtId="0" fillId="2" borderId="10" applyFont="0" applyNumberFormat="0" applyFill="0" applyBorder="1" applyAlignment="1" applyProtection="true">
      <alignment horizontal="center" vertical="bottom" textRotation="0" wrapText="false" shrinkToFit="false"/>
      <protection hidden="false"/>
    </xf>
    <xf xfId="0" fontId="0" numFmtId="0" fillId="2" borderId="4" applyFont="0" applyNumberFormat="0" applyFill="0" applyBorder="1" applyAlignment="1" applyProtection="true">
      <alignment horizontal="center" vertical="bottom" textRotation="0" wrapText="false" shrinkToFit="false"/>
      <protection hidden="false"/>
    </xf>
    <xf xfId="0" fontId="0" numFmtId="0" fillId="2" borderId="5" applyFont="0" applyNumberFormat="0" applyFill="0" applyBorder="1" applyAlignment="1" applyProtection="true">
      <alignment horizontal="center" vertical="bottom" textRotation="0" wrapText="false" shrinkToFit="false"/>
      <protection hidden="false"/>
    </xf>
    <xf xfId="0" fontId="0" numFmtId="3" fillId="4" borderId="2" applyFont="0" applyNumberFormat="1" applyFill="1" applyBorder="1" applyAlignment="1" applyProtection="true">
      <alignment horizontal="right" vertical="bottom" textRotation="0" wrapText="false" shrinkToFit="false"/>
      <protection hidden="false"/>
    </xf>
    <xf xfId="0" fontId="0" numFmtId="0" fillId="2" borderId="7" applyFont="0" applyNumberFormat="0" applyFill="0" applyBorder="1" applyAlignment="0" applyProtection="true">
      <protection hidden="false"/>
    </xf>
    <xf xfId="0" fontId="1" numFmtId="0" fillId="2" borderId="2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0" numFmtId="0" fillId="2" borderId="2" applyFont="0" applyNumberFormat="0" applyFill="0" applyBorder="1" applyAlignment="1" applyProtection="true">
      <alignment horizontal="left" vertical="bottom" textRotation="0" wrapText="false" shrinkToFit="false"/>
      <protection hidden="false"/>
    </xf>
    <xf xfId="0" fontId="6" numFmtId="0" fillId="2" borderId="16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6" numFmtId="0" fillId="2" borderId="14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0" numFmtId="0" fillId="2" borderId="13" applyFont="0" applyNumberFormat="0" applyFill="0" applyBorder="1" applyAlignment="1" applyProtection="true">
      <alignment horizontal="center" vertical="bottom" textRotation="0" wrapText="false" shrinkToFit="false"/>
      <protection hidden="false"/>
    </xf>
    <xf xfId="0" fontId="0" numFmtId="0" fillId="2" borderId="17" applyFont="0" applyNumberFormat="0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2" borderId="1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2" borderId="7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2" borderId="2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2" borderId="5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0" numFmtId="0" fillId="2" borderId="2" applyFont="0" applyNumberFormat="0" applyFill="0" applyBorder="1" applyAlignment="0" applyProtection="true">
      <protection hidden="false"/>
    </xf>
    <xf xfId="0" fontId="1" numFmtId="0" fillId="2" borderId="12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2" borderId="3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2" borderId="18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2" borderId="2" applyFont="1" applyNumberFormat="0" applyFill="0" applyBorder="1" applyAlignment="0" applyProtection="true">
      <protection hidden="false"/>
    </xf>
    <xf xfId="0" fontId="0" numFmtId="0" fillId="2" borderId="2" applyFont="0" applyNumberFormat="0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2" borderId="10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1" numFmtId="0" fillId="2" borderId="9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7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8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9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hidden="false"/>
    </xf>
    <xf xfId="0" fontId="10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7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0" numFmtId="3" fillId="2" borderId="0" applyFont="0" applyNumberFormat="1" applyFill="0" applyBorder="0" applyAlignment="1" applyProtection="true">
      <alignment horizontal="center" vertical="bottom" textRotation="0" wrapText="false" shrinkToFit="false"/>
      <protection hidden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hidden="false"/>
    </xf>
    <xf xfId="0" fontId="10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E1626"/>
  <sheetViews>
    <sheetView tabSelected="1" workbookViewId="0" showGridLines="true" showRowColHeaders="1">
      <selection activeCell="L110" sqref="L110"/>
    </sheetView>
  </sheetViews>
  <sheetFormatPr customHeight="true" defaultRowHeight="13.2" outlineLevelRow="0" outlineLevelCol="0"/>
  <cols>
    <col min="1" max="1" width="4.44140625" customWidth="true" style="0"/>
    <col min="2" max="2" width="26.88671875" customWidth="true" style="0"/>
    <col min="3" max="3" width="15" hidden="true" customWidth="true" style="0"/>
    <col min="4" max="4" width="8.109375" customWidth="true" style="0"/>
    <col min="5" max="5" width="9.6640625" customWidth="true" style="0"/>
    <col min="6" max="6" width="6.88671875" customWidth="true" style="0"/>
    <col min="7" max="7" width="7.33203125" customWidth="true" style="0"/>
    <col min="8" max="8" width="4.109375" hidden="true" customWidth="true" style="0"/>
    <col min="9" max="9" width="10.33203125" customWidth="true" style="0"/>
    <col min="10" max="10" width="6.88671875" customWidth="true" style="0"/>
    <col min="11" max="11" width="8.5546875" customWidth="true" style="0"/>
    <col min="12" max="12" width="15.6640625" customWidth="true" style="0"/>
    <col min="13" max="13" width="16.6640625" customWidth="true" style="0"/>
  </cols>
  <sheetData>
    <row r="1" spans="1:239" customHeight="1" ht="15">
      <c r="A1" s="111" t="s">
        <v>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/>
    </row>
    <row r="2" spans="1:239" customHeight="1" ht="15.75">
      <c r="A2" s="111" t="s">
        <v>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/>
    </row>
    <row r="3" spans="1:239" customHeight="1" ht="13.8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83" t="s">
        <v>2</v>
      </c>
      <c r="N3"/>
    </row>
    <row r="4" spans="1:239" customHeight="1" ht="18">
      <c r="A4" s="100" t="s">
        <v>3</v>
      </c>
      <c r="B4" s="107" t="s">
        <v>4</v>
      </c>
      <c r="C4" s="108"/>
      <c r="D4" s="8" t="s">
        <v>5</v>
      </c>
      <c r="E4" s="102" t="s">
        <v>6</v>
      </c>
      <c r="F4" s="103"/>
      <c r="G4" s="104"/>
      <c r="H4" s="62"/>
      <c r="I4" s="103" t="s">
        <v>7</v>
      </c>
      <c r="J4" s="103"/>
      <c r="K4" s="104"/>
      <c r="L4" s="8" t="s">
        <v>8</v>
      </c>
      <c r="M4" s="100" t="s">
        <v>9</v>
      </c>
      <c r="N4" s="1"/>
      <c r="O4" s="1"/>
      <c r="P4" s="1"/>
    </row>
    <row r="5" spans="1:239" customHeight="1" ht="13.2">
      <c r="A5" s="97"/>
      <c r="B5" s="102" t="s">
        <v>10</v>
      </c>
      <c r="C5" s="104"/>
      <c r="D5" s="14" t="s">
        <v>11</v>
      </c>
      <c r="E5" s="10" t="s">
        <v>12</v>
      </c>
      <c r="F5" s="15" t="s">
        <v>13</v>
      </c>
      <c r="G5" s="15" t="s">
        <v>14</v>
      </c>
      <c r="H5" s="13" t="s">
        <v>12</v>
      </c>
      <c r="I5" s="16" t="s">
        <v>12</v>
      </c>
      <c r="J5" s="15" t="s">
        <v>13</v>
      </c>
      <c r="K5" s="15" t="s">
        <v>14</v>
      </c>
      <c r="L5" s="14" t="s">
        <v>15</v>
      </c>
      <c r="M5" s="97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</row>
    <row r="6" spans="1:239" customHeight="1" ht="13.2">
      <c r="A6" s="63">
        <v>1</v>
      </c>
      <c r="B6" s="95">
        <v>2</v>
      </c>
      <c r="C6" s="96"/>
      <c r="D6" s="85">
        <v>3</v>
      </c>
      <c r="E6" s="85">
        <v>4</v>
      </c>
      <c r="F6" s="85">
        <v>5</v>
      </c>
      <c r="G6" s="86">
        <v>6</v>
      </c>
      <c r="H6" s="87">
        <v>7</v>
      </c>
      <c r="I6" s="85">
        <v>7</v>
      </c>
      <c r="J6" s="86">
        <v>8</v>
      </c>
      <c r="K6" s="88">
        <v>9</v>
      </c>
      <c r="L6" s="85">
        <v>10</v>
      </c>
      <c r="M6" s="85">
        <v>11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</row>
    <row r="7" spans="1:239" customHeight="1" ht="13.2">
      <c r="A7" s="3"/>
      <c r="B7" s="106"/>
      <c r="C7" s="106"/>
      <c r="D7" s="11"/>
      <c r="E7" s="11"/>
      <c r="F7" s="33"/>
      <c r="G7" s="33"/>
      <c r="H7" s="11"/>
      <c r="I7" s="11"/>
      <c r="J7" s="11"/>
      <c r="K7" s="11"/>
      <c r="L7" s="23"/>
      <c r="M7" s="11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</row>
    <row r="8" spans="1:239" customHeight="1" ht="13.2">
      <c r="A8" s="15" t="s">
        <v>16</v>
      </c>
      <c r="B8" s="105" t="s">
        <v>17</v>
      </c>
      <c r="C8" s="105"/>
      <c r="D8" s="20"/>
      <c r="E8" s="11"/>
      <c r="F8" s="38"/>
      <c r="G8" s="38"/>
      <c r="H8" s="11"/>
      <c r="I8" s="11"/>
      <c r="J8" s="38"/>
      <c r="K8" s="38"/>
      <c r="L8" s="23"/>
      <c r="M8" s="11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</row>
    <row r="9" spans="1:239" customHeight="1" ht="13.2">
      <c r="A9" s="3" t="s">
        <v>18</v>
      </c>
      <c r="B9" s="101" t="s">
        <v>19</v>
      </c>
      <c r="C9" s="101"/>
      <c r="D9" s="3" t="s">
        <v>20</v>
      </c>
      <c r="E9" s="3" t="s">
        <v>21</v>
      </c>
      <c r="F9" s="38">
        <v>800</v>
      </c>
      <c r="G9" s="38">
        <v>4269</v>
      </c>
      <c r="H9" s="3"/>
      <c r="I9" s="3" t="s">
        <v>22</v>
      </c>
      <c r="J9" s="38">
        <v>1171</v>
      </c>
      <c r="K9" s="38">
        <v>4269</v>
      </c>
      <c r="L9" s="23" t="s">
        <v>23</v>
      </c>
      <c r="M9" s="11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</row>
    <row r="10" spans="1:239" customHeight="1" ht="13.2">
      <c r="A10" s="3" t="s">
        <v>24</v>
      </c>
      <c r="B10" s="20" t="s">
        <v>25</v>
      </c>
      <c r="C10" s="106" t="s">
        <v>20</v>
      </c>
      <c r="D10" s="106"/>
      <c r="E10" s="3" t="s">
        <v>26</v>
      </c>
      <c r="F10" s="38">
        <v>431</v>
      </c>
      <c r="G10" s="38">
        <v>1903</v>
      </c>
      <c r="H10" s="3"/>
      <c r="I10" s="3" t="s">
        <v>22</v>
      </c>
      <c r="J10" s="38">
        <v>617</v>
      </c>
      <c r="K10" s="38">
        <v>1903</v>
      </c>
      <c r="L10" s="23" t="s">
        <v>27</v>
      </c>
      <c r="M10" s="1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</row>
    <row r="11" spans="1:239" customHeight="1" ht="13.2">
      <c r="A11" s="3" t="s">
        <v>28</v>
      </c>
      <c r="B11" s="101" t="s">
        <v>29</v>
      </c>
      <c r="C11" s="101"/>
      <c r="D11" s="3" t="s">
        <v>20</v>
      </c>
      <c r="E11" s="3" t="s">
        <v>26</v>
      </c>
      <c r="F11" s="38">
        <v>100</v>
      </c>
      <c r="G11" s="38">
        <v>414</v>
      </c>
      <c r="H11" s="3"/>
      <c r="I11" s="3" t="s">
        <v>30</v>
      </c>
      <c r="J11" s="38">
        <v>209</v>
      </c>
      <c r="K11" s="38">
        <v>414</v>
      </c>
      <c r="L11" s="23" t="s">
        <v>31</v>
      </c>
      <c r="M11" s="3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</row>
    <row r="12" spans="1:239" customHeight="1" ht="13.2">
      <c r="A12" s="3" t="s">
        <v>32</v>
      </c>
      <c r="B12" s="101" t="s">
        <v>33</v>
      </c>
      <c r="C12" s="101"/>
      <c r="D12" s="3" t="s">
        <v>20</v>
      </c>
      <c r="E12" s="3" t="s">
        <v>26</v>
      </c>
      <c r="F12" s="38">
        <v>100</v>
      </c>
      <c r="G12" s="38">
        <v>448</v>
      </c>
      <c r="H12" s="3"/>
      <c r="I12" s="3" t="s">
        <v>30</v>
      </c>
      <c r="J12" s="38">
        <v>191</v>
      </c>
      <c r="K12" s="38">
        <v>766</v>
      </c>
      <c r="L12" s="23" t="s">
        <v>33</v>
      </c>
      <c r="M12" s="3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</row>
    <row r="13" spans="1:239" customHeight="1" ht="13.2">
      <c r="A13" s="3" t="s">
        <v>34</v>
      </c>
      <c r="B13" s="101" t="s">
        <v>35</v>
      </c>
      <c r="C13" s="101"/>
      <c r="D13" s="3" t="s">
        <v>20</v>
      </c>
      <c r="E13" s="3" t="s">
        <v>26</v>
      </c>
      <c r="F13" s="38">
        <v>100</v>
      </c>
      <c r="G13" s="38">
        <v>435</v>
      </c>
      <c r="H13" s="3"/>
      <c r="I13" s="3" t="s">
        <v>30</v>
      </c>
      <c r="J13" s="38">
        <v>84</v>
      </c>
      <c r="K13" s="38">
        <v>252</v>
      </c>
      <c r="L13" s="23" t="s">
        <v>35</v>
      </c>
      <c r="M13" s="3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</row>
    <row r="14" spans="1:239" customHeight="1" ht="13.2">
      <c r="A14" s="3" t="s">
        <v>36</v>
      </c>
      <c r="B14" s="101" t="s">
        <v>37</v>
      </c>
      <c r="C14" s="101"/>
      <c r="D14" s="3" t="s">
        <v>38</v>
      </c>
      <c r="E14" s="3" t="s">
        <v>26</v>
      </c>
      <c r="F14" s="38">
        <v>69</v>
      </c>
      <c r="G14" s="38">
        <v>351</v>
      </c>
      <c r="H14" s="3"/>
      <c r="I14" s="3" t="s">
        <v>30</v>
      </c>
      <c r="J14" s="38">
        <v>77</v>
      </c>
      <c r="K14" s="38">
        <v>351</v>
      </c>
      <c r="L14" s="23" t="s">
        <v>39</v>
      </c>
      <c r="M14" s="3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</row>
    <row r="15" spans="1:239" customHeight="1" ht="13.2">
      <c r="A15" s="3" t="s">
        <v>40</v>
      </c>
      <c r="B15" s="101" t="s">
        <v>41</v>
      </c>
      <c r="C15" s="101"/>
      <c r="D15" s="3" t="s">
        <v>38</v>
      </c>
      <c r="E15" s="3" t="s">
        <v>42</v>
      </c>
      <c r="F15" s="38">
        <v>450</v>
      </c>
      <c r="G15" s="38">
        <v>1610</v>
      </c>
      <c r="H15" s="3"/>
      <c r="I15" s="22" t="s">
        <v>43</v>
      </c>
      <c r="J15" s="38">
        <v>450</v>
      </c>
      <c r="K15" s="38">
        <v>1690</v>
      </c>
      <c r="L15" s="35" t="s">
        <v>44</v>
      </c>
      <c r="M15" s="3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</row>
    <row r="16" spans="1:239" customHeight="1" ht="13.2">
      <c r="A16" s="3" t="s">
        <v>45</v>
      </c>
      <c r="B16" s="101" t="s">
        <v>46</v>
      </c>
      <c r="C16" s="101"/>
      <c r="D16" s="3" t="s">
        <v>38</v>
      </c>
      <c r="E16" s="3" t="s">
        <v>47</v>
      </c>
      <c r="F16" s="38">
        <v>500</v>
      </c>
      <c r="G16" s="38">
        <v>1801</v>
      </c>
      <c r="H16" s="3"/>
      <c r="I16" s="22" t="s">
        <v>43</v>
      </c>
      <c r="J16" s="38">
        <v>500</v>
      </c>
      <c r="K16" s="38">
        <v>2000</v>
      </c>
      <c r="L16" s="34" t="s">
        <v>43</v>
      </c>
      <c r="M16" s="3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</row>
    <row r="17" spans="1:239" customHeight="1" ht="13.2">
      <c r="A17" s="3" t="s">
        <v>48</v>
      </c>
      <c r="B17" s="101" t="s">
        <v>49</v>
      </c>
      <c r="C17" s="101"/>
      <c r="D17" s="3" t="s">
        <v>38</v>
      </c>
      <c r="E17" s="3" t="s">
        <v>50</v>
      </c>
      <c r="F17" s="38">
        <v>250</v>
      </c>
      <c r="G17" s="38">
        <v>792</v>
      </c>
      <c r="H17" s="3"/>
      <c r="I17" s="22" t="s">
        <v>43</v>
      </c>
      <c r="J17" s="38">
        <v>250</v>
      </c>
      <c r="K17" s="38">
        <v>792</v>
      </c>
      <c r="L17" s="34" t="s">
        <v>43</v>
      </c>
      <c r="M17" s="3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</row>
    <row r="18" spans="1:239" customHeight="1" ht="13.2">
      <c r="A18" s="3"/>
      <c r="B18" s="91" t="s">
        <v>51</v>
      </c>
      <c r="C18" s="91"/>
      <c r="D18" s="11"/>
      <c r="E18" s="15"/>
      <c r="F18" s="72">
        <f>SUM(F9:F17)</f>
        <v>2800</v>
      </c>
      <c r="G18" s="72">
        <f>SUM(G9:G17)</f>
        <v>12023</v>
      </c>
      <c r="H18" s="74"/>
      <c r="I18" s="79" t="s">
        <v>43</v>
      </c>
      <c r="J18" s="72">
        <f>SUM(J9:J17)</f>
        <v>3549</v>
      </c>
      <c r="K18" s="72">
        <f>SUM(K9:K17)</f>
        <v>12437</v>
      </c>
      <c r="L18" s="34" t="s">
        <v>43</v>
      </c>
      <c r="M18" s="3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</row>
    <row r="19" spans="1:239" customHeight="1" ht="13.2">
      <c r="A19" s="11"/>
      <c r="B19" s="106"/>
      <c r="C19" s="106"/>
      <c r="D19" s="11"/>
      <c r="E19" s="11"/>
      <c r="F19" s="38"/>
      <c r="G19" s="38"/>
      <c r="H19" s="11"/>
      <c r="I19" s="22"/>
      <c r="J19" s="38"/>
      <c r="K19" s="38"/>
      <c r="L19" s="11"/>
      <c r="M19" s="3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</row>
    <row r="20" spans="1:239" customHeight="1" ht="13.2">
      <c r="A20" s="15" t="s">
        <v>52</v>
      </c>
      <c r="B20" s="91" t="s">
        <v>53</v>
      </c>
      <c r="C20" s="91"/>
      <c r="D20" s="11"/>
      <c r="E20" s="11"/>
      <c r="F20" s="38"/>
      <c r="G20" s="38"/>
      <c r="H20" s="11"/>
      <c r="I20" s="11"/>
      <c r="J20" s="38"/>
      <c r="K20" s="38"/>
      <c r="L20" s="11"/>
      <c r="M20" s="3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</row>
    <row r="21" spans="1:239" customHeight="1" ht="13.2">
      <c r="A21" s="3" t="s">
        <v>54</v>
      </c>
      <c r="B21" s="92" t="s">
        <v>55</v>
      </c>
      <c r="C21" s="92"/>
      <c r="D21" s="3" t="s">
        <v>56</v>
      </c>
      <c r="E21" s="3" t="s">
        <v>57</v>
      </c>
      <c r="F21" s="38">
        <v>503</v>
      </c>
      <c r="G21" s="38">
        <v>2316</v>
      </c>
      <c r="H21" s="3"/>
      <c r="I21" s="3" t="s">
        <v>58</v>
      </c>
      <c r="J21" s="38">
        <v>445</v>
      </c>
      <c r="K21" s="38">
        <v>1804</v>
      </c>
      <c r="L21" s="23" t="s">
        <v>59</v>
      </c>
      <c r="M21" s="11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</row>
    <row r="22" spans="1:239" customHeight="1" ht="13.2">
      <c r="A22" s="3" t="s">
        <v>60</v>
      </c>
      <c r="B22" s="92" t="s">
        <v>61</v>
      </c>
      <c r="C22" s="92"/>
      <c r="D22" s="3" t="s">
        <v>56</v>
      </c>
      <c r="E22" s="3" t="s">
        <v>62</v>
      </c>
      <c r="F22" s="38">
        <v>369</v>
      </c>
      <c r="G22" s="38">
        <v>1528</v>
      </c>
      <c r="H22" s="3"/>
      <c r="I22" s="3" t="s">
        <v>63</v>
      </c>
      <c r="J22" s="38">
        <v>369</v>
      </c>
      <c r="K22" s="38">
        <v>1618</v>
      </c>
      <c r="L22" s="23" t="s">
        <v>64</v>
      </c>
      <c r="M22" s="11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</row>
    <row r="23" spans="1:239" customHeight="1" ht="13.2">
      <c r="A23" s="3" t="s">
        <v>65</v>
      </c>
      <c r="B23" s="92" t="s">
        <v>66</v>
      </c>
      <c r="C23" s="92"/>
      <c r="D23" s="3" t="s">
        <v>56</v>
      </c>
      <c r="E23" s="3" t="s">
        <v>67</v>
      </c>
      <c r="F23" s="38">
        <v>464</v>
      </c>
      <c r="G23" s="38">
        <v>2201</v>
      </c>
      <c r="H23" s="3"/>
      <c r="I23" s="3" t="s">
        <v>68</v>
      </c>
      <c r="J23" s="38">
        <v>646</v>
      </c>
      <c r="K23" s="38">
        <v>2506</v>
      </c>
      <c r="L23" s="23" t="s">
        <v>69</v>
      </c>
      <c r="M23" s="11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</row>
    <row r="24" spans="1:239" customHeight="1" ht="13.2">
      <c r="A24" s="3" t="s">
        <v>70</v>
      </c>
      <c r="B24" s="92" t="s">
        <v>71</v>
      </c>
      <c r="C24" s="92"/>
      <c r="D24" s="3" t="s">
        <v>56</v>
      </c>
      <c r="E24" s="3" t="s">
        <v>72</v>
      </c>
      <c r="F24" s="38">
        <v>371</v>
      </c>
      <c r="G24" s="38">
        <v>1568</v>
      </c>
      <c r="H24" s="3"/>
      <c r="I24" s="3" t="s">
        <v>73</v>
      </c>
      <c r="J24" s="38">
        <v>273</v>
      </c>
      <c r="K24" s="38">
        <v>1222</v>
      </c>
      <c r="L24" s="23" t="s">
        <v>74</v>
      </c>
      <c r="M24" s="11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</row>
    <row r="25" spans="1:239" customHeight="1" ht="13.2">
      <c r="A25" s="3"/>
      <c r="B25" s="23"/>
      <c r="C25" s="23"/>
      <c r="D25" s="3"/>
      <c r="E25" s="3"/>
      <c r="F25" s="38"/>
      <c r="G25" s="38"/>
      <c r="H25" s="3"/>
      <c r="I25" s="3"/>
      <c r="J25" s="38">
        <v>98</v>
      </c>
      <c r="K25" s="38">
        <v>404</v>
      </c>
      <c r="L25" s="23" t="s">
        <v>75</v>
      </c>
      <c r="M25" s="11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</row>
    <row r="26" spans="1:239" customHeight="1" ht="13.2">
      <c r="A26" s="24" t="s">
        <v>76</v>
      </c>
      <c r="B26" s="92" t="s">
        <v>77</v>
      </c>
      <c r="C26" s="92"/>
      <c r="D26" s="3" t="s">
        <v>38</v>
      </c>
      <c r="E26" s="3">
        <v>1999</v>
      </c>
      <c r="F26" s="38">
        <v>300</v>
      </c>
      <c r="G26" s="73">
        <v>1263</v>
      </c>
      <c r="H26" s="3"/>
      <c r="I26" s="3" t="s">
        <v>78</v>
      </c>
      <c r="J26" s="38">
        <v>300</v>
      </c>
      <c r="K26" s="38">
        <v>1263</v>
      </c>
      <c r="L26" s="23" t="s">
        <v>77</v>
      </c>
      <c r="M26" s="11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</row>
    <row r="27" spans="1:239" customHeight="1" ht="13.2">
      <c r="A27" s="3" t="s">
        <v>79</v>
      </c>
      <c r="B27" s="23" t="s">
        <v>80</v>
      </c>
      <c r="C27" s="23"/>
      <c r="D27" s="3" t="s">
        <v>38</v>
      </c>
      <c r="E27" s="3"/>
      <c r="F27" s="38">
        <v>250</v>
      </c>
      <c r="G27" s="40"/>
      <c r="H27" s="3"/>
      <c r="I27" s="3"/>
      <c r="J27" s="38">
        <v>250</v>
      </c>
      <c r="K27" s="38">
        <v>938</v>
      </c>
      <c r="L27" s="23"/>
      <c r="M27" s="11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</row>
    <row r="28" spans="1:239" customHeight="1" ht="13.2">
      <c r="A28" s="3"/>
      <c r="B28" s="91" t="s">
        <v>81</v>
      </c>
      <c r="C28" s="91"/>
      <c r="D28" s="11"/>
      <c r="E28" s="15"/>
      <c r="F28" s="72">
        <f>SUM(F21:F27)</f>
        <v>2257</v>
      </c>
      <c r="G28" s="72">
        <f>SUM(G21:G26)</f>
        <v>8876</v>
      </c>
      <c r="H28" s="74"/>
      <c r="I28" s="79" t="s">
        <v>43</v>
      </c>
      <c r="J28" s="72">
        <f>SUM(J21:J26)</f>
        <v>2131</v>
      </c>
      <c r="K28" s="72">
        <f>SUM(K21:K27)</f>
        <v>9755</v>
      </c>
      <c r="L28" s="34" t="s">
        <v>43</v>
      </c>
      <c r="M28" s="11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</row>
    <row r="29" spans="1:239" customHeight="1" ht="13.2">
      <c r="A29" s="3"/>
      <c r="B29" s="92"/>
      <c r="C29" s="92"/>
      <c r="D29" s="11"/>
      <c r="E29" s="15"/>
      <c r="F29" s="38"/>
      <c r="G29" s="38"/>
      <c r="H29" s="11"/>
      <c r="I29" s="22"/>
      <c r="J29" s="38"/>
      <c r="K29" s="38"/>
      <c r="L29" s="11"/>
      <c r="M29" s="11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</row>
    <row r="30" spans="1:239" customHeight="1" ht="12">
      <c r="A30" s="15" t="s">
        <v>82</v>
      </c>
      <c r="B30" s="91" t="s">
        <v>83</v>
      </c>
      <c r="C30" s="91"/>
      <c r="D30" s="11"/>
      <c r="E30" s="11"/>
      <c r="F30" s="38"/>
      <c r="G30" s="38"/>
      <c r="H30" s="11"/>
      <c r="I30" s="11"/>
      <c r="J30" s="38"/>
      <c r="K30" s="38"/>
      <c r="L30" s="11"/>
      <c r="M30" s="11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</row>
    <row r="31" spans="1:239" customHeight="1" ht="13.2">
      <c r="A31" s="3" t="s">
        <v>84</v>
      </c>
      <c r="B31" s="92" t="s">
        <v>85</v>
      </c>
      <c r="C31" s="92"/>
      <c r="D31" s="3" t="s">
        <v>38</v>
      </c>
      <c r="E31" s="3">
        <v>1999</v>
      </c>
      <c r="F31" s="38">
        <v>225</v>
      </c>
      <c r="G31" s="38">
        <v>675</v>
      </c>
      <c r="H31" s="3"/>
      <c r="I31" s="3" t="s">
        <v>86</v>
      </c>
      <c r="J31" s="41">
        <v>255</v>
      </c>
      <c r="K31" s="38">
        <v>890</v>
      </c>
      <c r="L31" s="23" t="s">
        <v>87</v>
      </c>
      <c r="M31" s="11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</row>
    <row r="32" spans="1:239" customHeight="1" ht="13.2">
      <c r="A32" s="3" t="s">
        <v>88</v>
      </c>
      <c r="B32" s="92" t="s">
        <v>80</v>
      </c>
      <c r="C32" s="92"/>
      <c r="D32" s="3" t="s">
        <v>38</v>
      </c>
      <c r="E32" s="3">
        <v>2003</v>
      </c>
      <c r="F32" s="38">
        <v>250</v>
      </c>
      <c r="G32" s="38">
        <v>939</v>
      </c>
      <c r="H32" s="3"/>
      <c r="I32" s="27" t="s">
        <v>89</v>
      </c>
      <c r="J32" s="38">
        <v>250</v>
      </c>
      <c r="K32" s="38">
        <v>1003</v>
      </c>
      <c r="L32" s="23" t="s">
        <v>80</v>
      </c>
      <c r="M32" s="23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</row>
    <row r="33" spans="1:239" customHeight="1" ht="13.2">
      <c r="A33" s="3"/>
      <c r="B33" s="23" t="s">
        <v>90</v>
      </c>
      <c r="C33" s="23"/>
      <c r="D33" s="3" t="s">
        <v>38</v>
      </c>
      <c r="E33" s="3" t="s">
        <v>91</v>
      </c>
      <c r="F33" s="38">
        <v>200</v>
      </c>
      <c r="G33" s="38">
        <v>800</v>
      </c>
      <c r="H33" s="3"/>
      <c r="I33" s="27">
        <v>2013</v>
      </c>
      <c r="J33" s="38">
        <v>200</v>
      </c>
      <c r="K33" s="38">
        <v>850</v>
      </c>
      <c r="L33" s="23" t="s">
        <v>90</v>
      </c>
      <c r="M33" s="23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</row>
    <row r="34" spans="1:239" customHeight="1" ht="13.2">
      <c r="A34" s="3"/>
      <c r="B34" s="91" t="s">
        <v>92</v>
      </c>
      <c r="C34" s="91"/>
      <c r="D34" s="11"/>
      <c r="E34" s="15"/>
      <c r="F34" s="72">
        <f>SUM(F31:F33)</f>
        <v>675</v>
      </c>
      <c r="G34" s="72">
        <f>SUM(G31:G33)</f>
        <v>2414</v>
      </c>
      <c r="H34" s="74"/>
      <c r="I34" s="79" t="s">
        <v>43</v>
      </c>
      <c r="J34" s="72">
        <f>SUM(J31:J33)</f>
        <v>705</v>
      </c>
      <c r="K34" s="72">
        <f>SUM(K31:K33)</f>
        <v>2743</v>
      </c>
      <c r="L34" s="34" t="s">
        <v>43</v>
      </c>
      <c r="M34" s="11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</row>
    <row r="35" spans="1:239" customHeight="1" ht="13.2">
      <c r="A35" s="3"/>
      <c r="B35" s="92"/>
      <c r="C35" s="92"/>
      <c r="D35" s="11"/>
      <c r="E35" s="11"/>
      <c r="F35" s="38"/>
      <c r="G35" s="38"/>
      <c r="H35" s="11"/>
      <c r="I35" s="22"/>
      <c r="J35" s="38"/>
      <c r="K35" s="38"/>
      <c r="L35" s="11"/>
      <c r="M35" s="11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</row>
    <row r="36" spans="1:239" customHeight="1" ht="13.2">
      <c r="A36" s="15" t="s">
        <v>93</v>
      </c>
      <c r="B36" s="21" t="s">
        <v>94</v>
      </c>
      <c r="C36" s="23"/>
      <c r="D36" s="11"/>
      <c r="E36" s="11"/>
      <c r="F36" s="38"/>
      <c r="G36" s="38"/>
      <c r="H36" s="11"/>
      <c r="I36" s="11"/>
      <c r="J36" s="38"/>
      <c r="K36" s="38"/>
      <c r="L36" s="11"/>
      <c r="M36" s="11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</row>
    <row r="37" spans="1:239" customHeight="1" ht="13.2">
      <c r="A37" s="3" t="s">
        <v>95</v>
      </c>
      <c r="B37" s="92" t="s">
        <v>96</v>
      </c>
      <c r="C37" s="92"/>
      <c r="D37" s="3" t="s">
        <v>20</v>
      </c>
      <c r="E37" s="3" t="s">
        <v>97</v>
      </c>
      <c r="F37" s="38">
        <v>500</v>
      </c>
      <c r="G37" s="38">
        <v>2325</v>
      </c>
      <c r="H37" s="3"/>
      <c r="I37" s="3" t="s">
        <v>98</v>
      </c>
      <c r="J37" s="38">
        <v>500</v>
      </c>
      <c r="K37" s="38">
        <v>2325</v>
      </c>
      <c r="L37" s="23" t="s">
        <v>99</v>
      </c>
      <c r="M37" s="11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</row>
    <row r="38" spans="1:239" customHeight="1" ht="13.2">
      <c r="A38" s="3" t="s">
        <v>100</v>
      </c>
      <c r="B38" s="92" t="s">
        <v>101</v>
      </c>
      <c r="C38" s="92"/>
      <c r="D38" s="3" t="s">
        <v>20</v>
      </c>
      <c r="E38" s="3" t="s">
        <v>102</v>
      </c>
      <c r="F38" s="38">
        <v>160</v>
      </c>
      <c r="G38" s="38">
        <v>682</v>
      </c>
      <c r="H38" s="3"/>
      <c r="I38" s="3" t="s">
        <v>103</v>
      </c>
      <c r="J38" s="38">
        <v>160</v>
      </c>
      <c r="K38" s="38">
        <v>682</v>
      </c>
      <c r="L38" s="23" t="s">
        <v>104</v>
      </c>
      <c r="M38" s="11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</row>
    <row r="39" spans="1:239" customHeight="1" ht="13.2">
      <c r="A39" s="3" t="s">
        <v>105</v>
      </c>
      <c r="B39" s="92" t="s">
        <v>106</v>
      </c>
      <c r="C39" s="92"/>
      <c r="D39" s="3" t="s">
        <v>20</v>
      </c>
      <c r="E39" s="3" t="s">
        <v>107</v>
      </c>
      <c r="F39" s="38">
        <v>403</v>
      </c>
      <c r="G39" s="38">
        <v>1516</v>
      </c>
      <c r="H39" s="3"/>
      <c r="I39" s="3"/>
      <c r="J39" s="38">
        <v>403</v>
      </c>
      <c r="K39" s="38">
        <v>1516</v>
      </c>
      <c r="L39" s="23"/>
      <c r="M39" s="11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</row>
    <row r="40" spans="1:239" customHeight="1" ht="13.2">
      <c r="A40" s="3" t="s">
        <v>108</v>
      </c>
      <c r="B40" s="92" t="s">
        <v>109</v>
      </c>
      <c r="C40" s="92"/>
      <c r="D40" s="3" t="s">
        <v>56</v>
      </c>
      <c r="E40" s="3" t="s">
        <v>107</v>
      </c>
      <c r="F40" s="38">
        <v>437</v>
      </c>
      <c r="G40" s="38">
        <v>1858</v>
      </c>
      <c r="H40" s="3"/>
      <c r="I40" s="3" t="s">
        <v>110</v>
      </c>
      <c r="J40" s="38">
        <v>437</v>
      </c>
      <c r="K40" s="38">
        <v>1858</v>
      </c>
      <c r="L40" s="23" t="s">
        <v>111</v>
      </c>
      <c r="M40" s="11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</row>
    <row r="41" spans="1:239" customHeight="1" ht="13.2">
      <c r="A41" s="3" t="s">
        <v>112</v>
      </c>
      <c r="B41" s="92" t="s">
        <v>113</v>
      </c>
      <c r="C41" s="92"/>
      <c r="D41" s="3" t="s">
        <v>56</v>
      </c>
      <c r="E41" s="3" t="s">
        <v>107</v>
      </c>
      <c r="F41" s="38">
        <v>350</v>
      </c>
      <c r="G41" s="38">
        <v>1305</v>
      </c>
      <c r="H41" s="3"/>
      <c r="I41" s="3" t="s">
        <v>110</v>
      </c>
      <c r="J41" s="38">
        <v>362</v>
      </c>
      <c r="K41" s="38">
        <v>1402</v>
      </c>
      <c r="L41" s="23" t="s">
        <v>114</v>
      </c>
      <c r="M41" s="11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</row>
    <row r="42" spans="1:239" customHeight="1" ht="13.2">
      <c r="A42" s="3"/>
      <c r="B42" s="23"/>
      <c r="C42" s="23"/>
      <c r="D42" s="3"/>
      <c r="E42" s="3"/>
      <c r="F42" s="39">
        <f>SUM(F37:F41)</f>
        <v>1850</v>
      </c>
      <c r="G42" s="39">
        <f>SUM(G37:G41)</f>
        <v>7686</v>
      </c>
      <c r="H42" s="15"/>
      <c r="I42" s="15"/>
      <c r="J42" s="39">
        <f>SUM(J37:J41)</f>
        <v>1862</v>
      </c>
      <c r="K42" s="39">
        <f>SUM(K37:K41)</f>
        <v>7783</v>
      </c>
      <c r="L42" s="23"/>
      <c r="M42" s="11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</row>
    <row r="43" spans="1:239" customHeight="1" ht="13.2">
      <c r="A43" s="3"/>
      <c r="B43" s="23"/>
      <c r="C43" s="23"/>
      <c r="D43" s="3"/>
      <c r="E43" s="3"/>
      <c r="F43" s="39"/>
      <c r="G43" s="39"/>
      <c r="H43" s="15"/>
      <c r="I43" s="15"/>
      <c r="J43" s="39"/>
      <c r="K43" s="39"/>
      <c r="L43" s="23"/>
      <c r="M43" s="11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</row>
    <row r="44" spans="1:239" customHeight="1" ht="13.2">
      <c r="A44" s="9"/>
      <c r="B44" s="4"/>
      <c r="C44" s="4"/>
      <c r="D44" s="9"/>
      <c r="E44" s="9"/>
      <c r="F44" s="46"/>
      <c r="G44" s="46"/>
      <c r="H44" s="9"/>
      <c r="I44" s="9"/>
      <c r="J44" s="46"/>
      <c r="K44" s="46"/>
      <c r="L44" s="4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</row>
    <row r="45" spans="1:239" customHeight="1" ht="13.2">
      <c r="A45" s="9"/>
      <c r="B45" s="4"/>
      <c r="C45" s="4"/>
      <c r="D45" s="9"/>
      <c r="E45" s="9"/>
      <c r="F45" s="46"/>
      <c r="G45" s="46"/>
      <c r="H45" s="9"/>
      <c r="I45" s="9"/>
      <c r="J45" s="46"/>
      <c r="K45" s="46"/>
      <c r="L45" s="4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</row>
    <row r="46" spans="1:239" customHeight="1" ht="13.8">
      <c r="A46" s="58"/>
      <c r="B46" s="61"/>
      <c r="C46" s="61"/>
      <c r="D46" s="58"/>
      <c r="E46" s="58"/>
      <c r="F46" s="58"/>
      <c r="G46" s="58"/>
      <c r="H46" s="58"/>
      <c r="I46" s="58"/>
      <c r="J46" s="58"/>
      <c r="K46" s="58"/>
      <c r="L46" s="58"/>
      <c r="M46" s="84" t="s">
        <v>115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</row>
    <row r="47" spans="1:239" customHeight="1" ht="13.8">
      <c r="A47" s="97" t="s">
        <v>3</v>
      </c>
      <c r="B47" s="100" t="s">
        <v>4</v>
      </c>
      <c r="C47" s="100"/>
      <c r="D47" s="8" t="s">
        <v>5</v>
      </c>
      <c r="E47" s="97" t="s">
        <v>6</v>
      </c>
      <c r="F47" s="97"/>
      <c r="G47" s="97"/>
      <c r="H47" s="50"/>
      <c r="I47" s="97" t="s">
        <v>7</v>
      </c>
      <c r="J47" s="97"/>
      <c r="K47" s="97"/>
      <c r="L47" s="8" t="s">
        <v>8</v>
      </c>
      <c r="M47" s="97" t="s">
        <v>9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</row>
    <row r="48" spans="1:239" customHeight="1" ht="13.2">
      <c r="A48" s="99"/>
      <c r="B48" s="97" t="s">
        <v>10</v>
      </c>
      <c r="C48" s="97"/>
      <c r="D48" s="14" t="s">
        <v>11</v>
      </c>
      <c r="E48" s="15" t="s">
        <v>12</v>
      </c>
      <c r="F48" s="15" t="s">
        <v>13</v>
      </c>
      <c r="G48" s="15" t="s">
        <v>14</v>
      </c>
      <c r="H48" s="15" t="s">
        <v>12</v>
      </c>
      <c r="I48" s="15" t="s">
        <v>12</v>
      </c>
      <c r="J48" s="15" t="s">
        <v>13</v>
      </c>
      <c r="K48" s="15" t="s">
        <v>14</v>
      </c>
      <c r="L48" s="14" t="s">
        <v>15</v>
      </c>
      <c r="M48" s="109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</row>
    <row r="49" spans="1:239" customHeight="1" ht="13.2">
      <c r="A49" s="63">
        <v>1</v>
      </c>
      <c r="B49" s="95">
        <v>2</v>
      </c>
      <c r="C49" s="96"/>
      <c r="D49" s="85">
        <v>3</v>
      </c>
      <c r="E49" s="85">
        <v>4</v>
      </c>
      <c r="F49" s="85">
        <v>5</v>
      </c>
      <c r="G49" s="86">
        <v>6</v>
      </c>
      <c r="H49" s="87">
        <v>7</v>
      </c>
      <c r="I49" s="85">
        <v>7</v>
      </c>
      <c r="J49" s="86">
        <v>8</v>
      </c>
      <c r="K49" s="88">
        <v>9</v>
      </c>
      <c r="L49" s="85">
        <v>10</v>
      </c>
      <c r="M49" s="85">
        <v>11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</row>
    <row r="50" spans="1:239" customHeight="1" ht="19.5">
      <c r="A50" s="24" t="s">
        <v>116</v>
      </c>
      <c r="B50" s="92" t="s">
        <v>109</v>
      </c>
      <c r="C50" s="92"/>
      <c r="D50" s="3" t="s">
        <v>56</v>
      </c>
      <c r="E50" s="3" t="s">
        <v>107</v>
      </c>
      <c r="F50" s="38">
        <v>350</v>
      </c>
      <c r="G50" s="38">
        <v>1205</v>
      </c>
      <c r="H50" s="3"/>
      <c r="I50" s="3" t="s">
        <v>110</v>
      </c>
      <c r="J50" s="89">
        <v>350</v>
      </c>
      <c r="K50" s="89">
        <v>1325</v>
      </c>
      <c r="L50" s="23" t="s">
        <v>117</v>
      </c>
      <c r="M50" s="11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</row>
    <row r="51" spans="1:239" customHeight="1" ht="13.2">
      <c r="A51" s="24" t="s">
        <v>118</v>
      </c>
      <c r="B51" s="23" t="s">
        <v>119</v>
      </c>
      <c r="C51" s="23"/>
      <c r="D51" s="3" t="s">
        <v>56</v>
      </c>
      <c r="E51" s="3" t="s">
        <v>107</v>
      </c>
      <c r="F51" s="38">
        <v>445</v>
      </c>
      <c r="G51" s="38">
        <v>1673</v>
      </c>
      <c r="H51" s="3"/>
      <c r="I51" s="3" t="s">
        <v>63</v>
      </c>
      <c r="J51" s="38">
        <v>445</v>
      </c>
      <c r="K51" s="38">
        <v>1673</v>
      </c>
      <c r="L51" s="23" t="s">
        <v>120</v>
      </c>
      <c r="M51" s="11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</row>
    <row r="52" spans="1:239" customHeight="1" ht="13.2">
      <c r="A52" s="24" t="s">
        <v>121</v>
      </c>
      <c r="B52" s="11" t="s">
        <v>122</v>
      </c>
      <c r="C52" s="11"/>
      <c r="D52" s="3" t="s">
        <v>56</v>
      </c>
      <c r="E52" s="3" t="s">
        <v>123</v>
      </c>
      <c r="F52" s="38">
        <v>494</v>
      </c>
      <c r="G52" s="38">
        <v>2045</v>
      </c>
      <c r="H52" s="3"/>
      <c r="I52" s="3" t="s">
        <v>63</v>
      </c>
      <c r="J52" s="38">
        <v>494</v>
      </c>
      <c r="K52" s="38">
        <v>2045</v>
      </c>
      <c r="L52" s="23" t="s">
        <v>124</v>
      </c>
      <c r="M52" s="11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</row>
    <row r="53" spans="1:239" customHeight="1" ht="13.2">
      <c r="A53" s="24" t="s">
        <v>125</v>
      </c>
      <c r="B53" s="11" t="s">
        <v>126</v>
      </c>
      <c r="C53" s="11"/>
      <c r="D53" s="3" t="s">
        <v>56</v>
      </c>
      <c r="E53" s="3" t="s">
        <v>127</v>
      </c>
      <c r="F53" s="38">
        <v>280</v>
      </c>
      <c r="G53" s="38">
        <v>1225</v>
      </c>
      <c r="H53" s="3"/>
      <c r="I53" s="3" t="s">
        <v>128</v>
      </c>
      <c r="J53" s="38">
        <v>280</v>
      </c>
      <c r="K53" s="38">
        <v>1026</v>
      </c>
      <c r="L53" s="23" t="s">
        <v>129</v>
      </c>
      <c r="M53" s="11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</row>
    <row r="54" spans="1:239" customHeight="1" ht="13.2">
      <c r="A54" s="24" t="s">
        <v>130</v>
      </c>
      <c r="B54" s="11" t="s">
        <v>131</v>
      </c>
      <c r="C54" s="11"/>
      <c r="D54" s="3" t="s">
        <v>132</v>
      </c>
      <c r="E54" s="3" t="s">
        <v>42</v>
      </c>
      <c r="F54" s="38">
        <v>300</v>
      </c>
      <c r="G54" s="38">
        <v>1176</v>
      </c>
      <c r="H54" s="3"/>
      <c r="I54" s="22" t="s">
        <v>43</v>
      </c>
      <c r="J54" s="38">
        <v>300</v>
      </c>
      <c r="K54" s="38">
        <v>1169</v>
      </c>
      <c r="L54" s="34" t="s">
        <v>43</v>
      </c>
      <c r="M54" s="11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</row>
    <row r="55" spans="1:239" customHeight="1" ht="13.2">
      <c r="A55" s="24" t="s">
        <v>133</v>
      </c>
      <c r="B55" s="11" t="s">
        <v>134</v>
      </c>
      <c r="C55" s="11"/>
      <c r="D55" s="3" t="s">
        <v>132</v>
      </c>
      <c r="E55" s="3" t="s">
        <v>42</v>
      </c>
      <c r="F55" s="38">
        <v>300</v>
      </c>
      <c r="G55" s="38">
        <v>1127</v>
      </c>
      <c r="H55" s="3"/>
      <c r="I55" s="22" t="s">
        <v>43</v>
      </c>
      <c r="J55" s="38">
        <v>300</v>
      </c>
      <c r="K55" s="38">
        <v>1138</v>
      </c>
      <c r="L55" s="34" t="s">
        <v>43</v>
      </c>
      <c r="M55" s="11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</row>
    <row r="56" spans="1:239" customHeight="1" ht="13.2">
      <c r="A56" s="11"/>
      <c r="B56" s="91" t="s">
        <v>135</v>
      </c>
      <c r="C56" s="91"/>
      <c r="D56" s="11"/>
      <c r="E56" s="15"/>
      <c r="F56" s="72">
        <f>SUM(F42+F50+F51+F52+F53+F54+F55)</f>
        <v>4019</v>
      </c>
      <c r="G56" s="72">
        <f>SUM(G42+G50+G51+G52+G53+G54+G55)</f>
        <v>16137</v>
      </c>
      <c r="H56" s="74"/>
      <c r="I56" s="79" t="s">
        <v>43</v>
      </c>
      <c r="J56" s="72">
        <f>SUM(J42+J50+J51+J52+J53+J54+J55)</f>
        <v>4031</v>
      </c>
      <c r="K56" s="72">
        <f>SUM(K42+K50+K51+K52+K53+K54+K55)</f>
        <v>16159</v>
      </c>
      <c r="L56" s="34" t="s">
        <v>43</v>
      </c>
      <c r="M56" s="11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</row>
    <row r="57" spans="1:239" customHeight="1" ht="13.2">
      <c r="A57" s="11"/>
      <c r="B57" s="11"/>
      <c r="C57" s="11"/>
      <c r="D57" s="11"/>
      <c r="E57" s="15"/>
      <c r="F57" s="39"/>
      <c r="G57" s="39"/>
      <c r="H57" s="15"/>
      <c r="I57" s="22"/>
      <c r="J57" s="39"/>
      <c r="K57" s="39"/>
      <c r="L57" s="11"/>
      <c r="M57" s="11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</row>
    <row r="58" spans="1:239" customHeight="1" ht="13.2">
      <c r="A58" s="25" t="s">
        <v>136</v>
      </c>
      <c r="B58" s="26" t="s">
        <v>137</v>
      </c>
      <c r="C58" s="11"/>
      <c r="D58" s="11"/>
      <c r="E58" s="11"/>
      <c r="F58" s="38"/>
      <c r="G58" s="38"/>
      <c r="H58" s="11"/>
      <c r="I58" s="11"/>
      <c r="J58" s="38"/>
      <c r="K58" s="38"/>
      <c r="L58" s="11"/>
      <c r="M58" s="11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</row>
    <row r="59" spans="1:239" customHeight="1" ht="13.2">
      <c r="A59" s="24" t="s">
        <v>138</v>
      </c>
      <c r="B59" s="11" t="s">
        <v>139</v>
      </c>
      <c r="C59" s="11"/>
      <c r="D59" s="3" t="s">
        <v>20</v>
      </c>
      <c r="E59" s="3">
        <v>1953</v>
      </c>
      <c r="F59" s="38">
        <v>724</v>
      </c>
      <c r="G59" s="38">
        <v>2595</v>
      </c>
      <c r="H59" s="3"/>
      <c r="I59" s="27" t="s">
        <v>140</v>
      </c>
      <c r="J59" s="38">
        <v>724</v>
      </c>
      <c r="K59" s="38">
        <v>2595</v>
      </c>
      <c r="L59" s="23" t="s">
        <v>141</v>
      </c>
      <c r="M59" s="11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</row>
    <row r="60" spans="1:239" customHeight="1" ht="13.2">
      <c r="A60" s="24" t="s">
        <v>142</v>
      </c>
      <c r="B60" s="11" t="s">
        <v>143</v>
      </c>
      <c r="C60" s="11"/>
      <c r="D60" s="3" t="s">
        <v>20</v>
      </c>
      <c r="E60" s="3" t="s">
        <v>144</v>
      </c>
      <c r="F60" s="38">
        <v>2000</v>
      </c>
      <c r="G60" s="38">
        <v>8549</v>
      </c>
      <c r="H60" s="3"/>
      <c r="I60" s="28" t="s">
        <v>145</v>
      </c>
      <c r="J60" s="38">
        <v>2000</v>
      </c>
      <c r="K60" s="38">
        <v>8549</v>
      </c>
      <c r="L60" s="23" t="s">
        <v>146</v>
      </c>
      <c r="M60" s="11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</row>
    <row r="61" spans="1:239" customHeight="1" ht="13.2">
      <c r="A61" s="24" t="s">
        <v>147</v>
      </c>
      <c r="B61" s="11" t="s">
        <v>148</v>
      </c>
      <c r="C61" s="11"/>
      <c r="D61" s="3" t="s">
        <v>20</v>
      </c>
      <c r="E61" s="3" t="s">
        <v>97</v>
      </c>
      <c r="F61" s="38">
        <v>750</v>
      </c>
      <c r="G61" s="38">
        <v>3190</v>
      </c>
      <c r="H61" s="3"/>
      <c r="I61" s="71" t="s">
        <v>149</v>
      </c>
      <c r="J61" s="38">
        <v>750</v>
      </c>
      <c r="K61" s="38">
        <v>3190</v>
      </c>
      <c r="L61" s="23" t="s">
        <v>150</v>
      </c>
      <c r="M61" s="11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</row>
    <row r="62" spans="1:239" customHeight="1" ht="13.2">
      <c r="A62" s="24" t="s">
        <v>151</v>
      </c>
      <c r="B62" s="11" t="s">
        <v>152</v>
      </c>
      <c r="C62" s="11"/>
      <c r="D62" s="3" t="s">
        <v>20</v>
      </c>
      <c r="E62" s="3" t="s">
        <v>153</v>
      </c>
      <c r="F62" s="38">
        <v>2000</v>
      </c>
      <c r="G62" s="38">
        <v>8449</v>
      </c>
      <c r="H62" s="3"/>
      <c r="I62" s="3" t="s">
        <v>154</v>
      </c>
      <c r="J62" s="38">
        <v>490</v>
      </c>
      <c r="K62" s="38">
        <v>2373</v>
      </c>
      <c r="L62" s="23" t="s">
        <v>155</v>
      </c>
      <c r="M62" s="11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</row>
    <row r="63" spans="1:239" customHeight="1" ht="13.2">
      <c r="A63" s="24"/>
      <c r="B63" s="11"/>
      <c r="C63" s="11"/>
      <c r="D63" s="3"/>
      <c r="E63" s="3"/>
      <c r="F63" s="38"/>
      <c r="G63" s="38"/>
      <c r="H63" s="3"/>
      <c r="I63" s="3" t="s">
        <v>154</v>
      </c>
      <c r="J63" s="38">
        <v>415</v>
      </c>
      <c r="K63" s="38">
        <v>1594</v>
      </c>
      <c r="L63" s="23" t="s">
        <v>156</v>
      </c>
      <c r="M63" s="11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</row>
    <row r="64" spans="1:239" customHeight="1" ht="13.2">
      <c r="A64" s="24"/>
      <c r="B64" s="11"/>
      <c r="C64" s="11"/>
      <c r="D64" s="3"/>
      <c r="E64" s="3"/>
      <c r="F64" s="38"/>
      <c r="G64" s="38"/>
      <c r="H64" s="3"/>
      <c r="I64" s="3" t="s">
        <v>154</v>
      </c>
      <c r="J64" s="38">
        <v>131</v>
      </c>
      <c r="K64" s="38">
        <v>990</v>
      </c>
      <c r="L64" s="23" t="s">
        <v>157</v>
      </c>
      <c r="M64" s="11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</row>
    <row r="65" spans="1:239" customHeight="1" ht="13.2">
      <c r="A65" s="24"/>
      <c r="B65" s="11"/>
      <c r="C65" s="11"/>
      <c r="D65" s="3"/>
      <c r="E65" s="3"/>
      <c r="F65" s="38"/>
      <c r="G65" s="38"/>
      <c r="H65" s="3"/>
      <c r="I65" s="3" t="s">
        <v>154</v>
      </c>
      <c r="J65" s="38">
        <v>551</v>
      </c>
      <c r="K65" s="38">
        <v>2175</v>
      </c>
      <c r="L65" s="23" t="s">
        <v>158</v>
      </c>
      <c r="M65" s="11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</row>
    <row r="66" spans="1:239" customHeight="1" ht="13.2">
      <c r="A66" s="24"/>
      <c r="B66" s="11"/>
      <c r="C66" s="11"/>
      <c r="D66" s="3"/>
      <c r="E66" s="3"/>
      <c r="F66" s="38"/>
      <c r="G66" s="38"/>
      <c r="H66" s="3"/>
      <c r="I66" s="3" t="s">
        <v>154</v>
      </c>
      <c r="J66" s="38">
        <v>413</v>
      </c>
      <c r="K66" s="38">
        <v>1903</v>
      </c>
      <c r="L66" s="23" t="s">
        <v>159</v>
      </c>
      <c r="M66" s="11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</row>
    <row r="67" spans="1:239" customHeight="1" ht="19.5">
      <c r="A67" s="24" t="s">
        <v>160</v>
      </c>
      <c r="B67" s="29" t="s">
        <v>161</v>
      </c>
      <c r="C67" s="11"/>
      <c r="D67" s="3" t="s">
        <v>56</v>
      </c>
      <c r="E67" s="3" t="s">
        <v>153</v>
      </c>
      <c r="F67" s="38">
        <v>330</v>
      </c>
      <c r="G67" s="38">
        <v>1419</v>
      </c>
      <c r="H67" s="3"/>
      <c r="I67" s="3" t="s">
        <v>162</v>
      </c>
      <c r="J67" s="38">
        <v>140</v>
      </c>
      <c r="K67" s="38">
        <v>694</v>
      </c>
      <c r="L67" s="23" t="s">
        <v>163</v>
      </c>
      <c r="M67" s="11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</row>
    <row r="68" spans="1:239" customHeight="1" ht="14.25">
      <c r="A68" s="24"/>
      <c r="B68" s="29" t="s">
        <v>164</v>
      </c>
      <c r="C68" s="11"/>
      <c r="D68" s="3"/>
      <c r="E68" s="3"/>
      <c r="F68" s="38"/>
      <c r="G68" s="38"/>
      <c r="H68" s="3"/>
      <c r="I68" s="3"/>
      <c r="J68" s="38">
        <v>190</v>
      </c>
      <c r="K68" s="38">
        <v>825</v>
      </c>
      <c r="L68" s="23" t="s">
        <v>165</v>
      </c>
      <c r="M68" s="11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</row>
    <row r="69" spans="1:239" customHeight="1" ht="13.2">
      <c r="A69" s="24" t="s">
        <v>166</v>
      </c>
      <c r="B69" s="11" t="s">
        <v>167</v>
      </c>
      <c r="C69" s="11"/>
      <c r="D69" s="3" t="s">
        <v>56</v>
      </c>
      <c r="E69" s="3" t="s">
        <v>168</v>
      </c>
      <c r="F69" s="38">
        <v>429</v>
      </c>
      <c r="G69" s="38">
        <v>1647</v>
      </c>
      <c r="H69" s="3"/>
      <c r="I69" s="3" t="s">
        <v>162</v>
      </c>
      <c r="J69" s="38">
        <v>432</v>
      </c>
      <c r="K69" s="38">
        <v>1995</v>
      </c>
      <c r="L69" s="23" t="s">
        <v>169</v>
      </c>
      <c r="M69" s="11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</row>
    <row r="70" spans="1:239" customHeight="1" ht="13.2">
      <c r="A70" s="24" t="s">
        <v>170</v>
      </c>
      <c r="B70" s="11" t="s">
        <v>171</v>
      </c>
      <c r="C70" s="11"/>
      <c r="D70" s="3" t="s">
        <v>56</v>
      </c>
      <c r="E70" s="3" t="s">
        <v>168</v>
      </c>
      <c r="F70" s="38">
        <v>461</v>
      </c>
      <c r="G70" s="38">
        <v>1942</v>
      </c>
      <c r="H70" s="3"/>
      <c r="I70" s="3" t="s">
        <v>162</v>
      </c>
      <c r="J70" s="38">
        <v>462</v>
      </c>
      <c r="K70" s="38">
        <v>1962</v>
      </c>
      <c r="L70" s="23" t="s">
        <v>172</v>
      </c>
      <c r="M70" s="11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</row>
    <row r="71" spans="1:239" customHeight="1" ht="13.2">
      <c r="A71" s="24" t="s">
        <v>173</v>
      </c>
      <c r="B71" s="11" t="s">
        <v>174</v>
      </c>
      <c r="C71" s="11"/>
      <c r="D71" s="3" t="s">
        <v>20</v>
      </c>
      <c r="E71" s="3" t="s">
        <v>107</v>
      </c>
      <c r="F71" s="38">
        <v>300</v>
      </c>
      <c r="G71" s="38">
        <v>1122</v>
      </c>
      <c r="H71" s="3"/>
      <c r="I71" s="3" t="s">
        <v>175</v>
      </c>
      <c r="J71" s="38">
        <v>302</v>
      </c>
      <c r="K71" s="38">
        <v>1222</v>
      </c>
      <c r="L71" s="23" t="s">
        <v>176</v>
      </c>
      <c r="M71" s="11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</row>
    <row r="72" spans="1:239" customHeight="1" ht="13.2">
      <c r="A72" s="24" t="s">
        <v>177</v>
      </c>
      <c r="B72" s="11" t="s">
        <v>178</v>
      </c>
      <c r="C72" s="11"/>
      <c r="D72" s="3" t="s">
        <v>56</v>
      </c>
      <c r="E72" s="3" t="s">
        <v>123</v>
      </c>
      <c r="F72" s="38">
        <v>433</v>
      </c>
      <c r="G72" s="38">
        <v>1779</v>
      </c>
      <c r="H72" s="3"/>
      <c r="I72" s="3" t="s">
        <v>179</v>
      </c>
      <c r="J72" s="38">
        <v>433</v>
      </c>
      <c r="K72" s="38">
        <v>1982</v>
      </c>
      <c r="L72" s="23" t="s">
        <v>180</v>
      </c>
      <c r="M72" s="11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</row>
    <row r="73" spans="1:239" customHeight="1" ht="13.2">
      <c r="A73" s="24" t="s">
        <v>181</v>
      </c>
      <c r="B73" s="11" t="s">
        <v>182</v>
      </c>
      <c r="C73" s="11"/>
      <c r="D73" s="3" t="s">
        <v>56</v>
      </c>
      <c r="E73" s="3" t="s">
        <v>123</v>
      </c>
      <c r="F73" s="38">
        <v>492</v>
      </c>
      <c r="G73" s="38">
        <v>2134</v>
      </c>
      <c r="H73" s="3"/>
      <c r="I73" s="3" t="s">
        <v>183</v>
      </c>
      <c r="J73" s="38">
        <v>500</v>
      </c>
      <c r="K73" s="38">
        <v>2170</v>
      </c>
      <c r="L73" s="23" t="s">
        <v>184</v>
      </c>
      <c r="M73" s="11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</row>
    <row r="74" spans="1:239" customHeight="1" ht="13.2">
      <c r="A74" s="24" t="s">
        <v>185</v>
      </c>
      <c r="B74" s="11" t="s">
        <v>186</v>
      </c>
      <c r="C74" s="11"/>
      <c r="D74" s="3" t="s">
        <v>56</v>
      </c>
      <c r="E74" s="3" t="s">
        <v>187</v>
      </c>
      <c r="F74" s="38">
        <v>578</v>
      </c>
      <c r="G74" s="38">
        <v>1510</v>
      </c>
      <c r="H74" s="3"/>
      <c r="I74" s="3" t="s">
        <v>188</v>
      </c>
      <c r="J74" s="38">
        <v>579</v>
      </c>
      <c r="K74" s="38">
        <v>1401</v>
      </c>
      <c r="L74" s="23" t="s">
        <v>189</v>
      </c>
      <c r="M74" s="11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</row>
    <row r="75" spans="1:239" customHeight="1" ht="13.2">
      <c r="A75" s="24" t="s">
        <v>190</v>
      </c>
      <c r="B75" s="11" t="s">
        <v>191</v>
      </c>
      <c r="C75" s="11"/>
      <c r="D75" s="3" t="s">
        <v>56</v>
      </c>
      <c r="E75" s="3" t="s">
        <v>123</v>
      </c>
      <c r="F75" s="38">
        <v>100</v>
      </c>
      <c r="G75" s="38">
        <v>433</v>
      </c>
      <c r="H75" s="3"/>
      <c r="I75" s="3" t="s">
        <v>188</v>
      </c>
      <c r="J75" s="38">
        <v>103</v>
      </c>
      <c r="K75" s="38">
        <v>483</v>
      </c>
      <c r="L75" s="23" t="s">
        <v>192</v>
      </c>
      <c r="M75" s="11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</row>
    <row r="76" spans="1:239" customHeight="1" ht="13.2">
      <c r="A76" s="24" t="s">
        <v>193</v>
      </c>
      <c r="B76" s="11" t="s">
        <v>194</v>
      </c>
      <c r="C76" s="11"/>
      <c r="D76" s="3" t="s">
        <v>56</v>
      </c>
      <c r="E76" s="3" t="s">
        <v>195</v>
      </c>
      <c r="F76" s="38">
        <v>304</v>
      </c>
      <c r="G76" s="38">
        <v>1113</v>
      </c>
      <c r="H76" s="3"/>
      <c r="I76" s="3" t="s">
        <v>196</v>
      </c>
      <c r="J76" s="38">
        <v>94</v>
      </c>
      <c r="K76" s="38">
        <v>286</v>
      </c>
      <c r="L76" s="23" t="s">
        <v>197</v>
      </c>
      <c r="M76" s="11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</row>
    <row r="77" spans="1:239" customHeight="1" ht="13.2">
      <c r="A77" s="24"/>
      <c r="B77" s="11"/>
      <c r="C77" s="11"/>
      <c r="D77" s="3"/>
      <c r="E77" s="3"/>
      <c r="F77" s="38"/>
      <c r="G77" s="38"/>
      <c r="H77" s="3"/>
      <c r="I77" s="3" t="s">
        <v>196</v>
      </c>
      <c r="J77" s="38">
        <v>118</v>
      </c>
      <c r="K77" s="38">
        <v>458</v>
      </c>
      <c r="L77" s="23" t="s">
        <v>198</v>
      </c>
      <c r="M77" s="11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</row>
    <row r="78" spans="1:239" customHeight="1" ht="13.2">
      <c r="A78" s="24"/>
      <c r="B78" s="11"/>
      <c r="C78" s="11"/>
      <c r="D78" s="3"/>
      <c r="E78" s="3"/>
      <c r="F78" s="38"/>
      <c r="G78" s="38"/>
      <c r="H78" s="3"/>
      <c r="I78" s="3" t="s">
        <v>196</v>
      </c>
      <c r="J78" s="38">
        <v>104</v>
      </c>
      <c r="K78" s="38">
        <v>387</v>
      </c>
      <c r="L78" s="23" t="s">
        <v>199</v>
      </c>
      <c r="M78" s="11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</row>
    <row r="79" spans="1:239" customHeight="1" ht="13.2">
      <c r="A79" s="24" t="s">
        <v>200</v>
      </c>
      <c r="B79" s="11" t="s">
        <v>201</v>
      </c>
      <c r="C79" s="11"/>
      <c r="D79" s="3" t="s">
        <v>20</v>
      </c>
      <c r="E79" s="3" t="s">
        <v>202</v>
      </c>
      <c r="F79" s="38">
        <v>500</v>
      </c>
      <c r="G79" s="38">
        <v>1912</v>
      </c>
      <c r="H79" s="3"/>
      <c r="I79" s="3" t="s">
        <v>203</v>
      </c>
      <c r="J79" s="38">
        <v>506</v>
      </c>
      <c r="K79" s="38">
        <v>1988</v>
      </c>
      <c r="L79" s="35" t="s">
        <v>204</v>
      </c>
      <c r="M79" s="11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</row>
    <row r="80" spans="1:239" customHeight="1" ht="13.2">
      <c r="A80" s="24" t="s">
        <v>205</v>
      </c>
      <c r="B80" s="11" t="s">
        <v>206</v>
      </c>
      <c r="C80" s="11"/>
      <c r="D80" s="3" t="s">
        <v>20</v>
      </c>
      <c r="E80" s="3" t="s">
        <v>207</v>
      </c>
      <c r="F80" s="38">
        <v>450</v>
      </c>
      <c r="G80" s="38">
        <v>1831</v>
      </c>
      <c r="H80" s="3"/>
      <c r="I80" s="3" t="s">
        <v>208</v>
      </c>
      <c r="J80" s="38">
        <v>450</v>
      </c>
      <c r="K80" s="38">
        <v>1916</v>
      </c>
      <c r="L80" s="35" t="s">
        <v>206</v>
      </c>
      <c r="M80" s="11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</row>
    <row r="81" spans="1:239" customHeight="1" ht="13.2">
      <c r="A81" s="3" t="s">
        <v>209</v>
      </c>
      <c r="B81" s="11" t="s">
        <v>210</v>
      </c>
      <c r="C81" s="11"/>
      <c r="D81" s="3" t="s">
        <v>20</v>
      </c>
      <c r="E81" s="3" t="s">
        <v>42</v>
      </c>
      <c r="F81" s="38">
        <v>250</v>
      </c>
      <c r="G81" s="38">
        <v>993</v>
      </c>
      <c r="H81" s="3"/>
      <c r="I81" s="3" t="s">
        <v>211</v>
      </c>
      <c r="J81" s="38">
        <v>250</v>
      </c>
      <c r="K81" s="42">
        <v>930</v>
      </c>
      <c r="L81" s="23" t="s">
        <v>212</v>
      </c>
      <c r="M81" s="11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</row>
    <row r="82" spans="1:239" customHeight="1" ht="13.2">
      <c r="A82" s="24"/>
      <c r="B82" s="31"/>
      <c r="C82" s="31"/>
      <c r="D82" s="48"/>
      <c r="E82" s="3"/>
      <c r="F82" s="39">
        <f>SUM(F59:F81)</f>
        <v>10101</v>
      </c>
      <c r="G82" s="39">
        <f>SUM(G59:G81)</f>
        <v>40618</v>
      </c>
      <c r="H82" s="15"/>
      <c r="I82" s="15"/>
      <c r="J82" s="39">
        <f>SUM(J59:J81)</f>
        <v>10137</v>
      </c>
      <c r="K82" s="39">
        <f>SUM(K59:K81)</f>
        <v>42068</v>
      </c>
      <c r="L82" s="49"/>
      <c r="M82" s="11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</row>
    <row r="83" spans="1:239" customHeight="1" ht="13.2">
      <c r="A83" s="51"/>
      <c r="B83" s="7"/>
      <c r="C83" s="7"/>
      <c r="D83" s="52"/>
      <c r="E83" s="52"/>
      <c r="F83" s="53"/>
      <c r="G83" s="53"/>
      <c r="H83" s="52"/>
      <c r="I83" s="52"/>
      <c r="J83" s="53"/>
      <c r="K83" s="54"/>
      <c r="L83" s="55"/>
      <c r="M83" s="7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</row>
    <row r="84" spans="1:239" customHeight="1" ht="13.8">
      <c r="A84" s="56"/>
      <c r="B84" s="57"/>
      <c r="C84" s="57"/>
      <c r="D84" s="58"/>
      <c r="E84" s="58"/>
      <c r="F84" s="59"/>
      <c r="G84" s="59"/>
      <c r="H84" s="58"/>
      <c r="I84" s="58"/>
      <c r="J84" s="59"/>
      <c r="K84" s="60"/>
      <c r="L84" s="61"/>
      <c r="M84" s="84" t="s">
        <v>213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</row>
    <row r="85" spans="1:239" customHeight="1" ht="13.8">
      <c r="A85" s="97" t="s">
        <v>3</v>
      </c>
      <c r="B85" s="100" t="s">
        <v>4</v>
      </c>
      <c r="C85" s="100"/>
      <c r="D85" s="8" t="s">
        <v>5</v>
      </c>
      <c r="E85" s="97" t="s">
        <v>6</v>
      </c>
      <c r="F85" s="97"/>
      <c r="G85" s="97"/>
      <c r="H85" s="50"/>
      <c r="I85" s="97" t="s">
        <v>7</v>
      </c>
      <c r="J85" s="97"/>
      <c r="K85" s="97"/>
      <c r="L85" s="8" t="s">
        <v>8</v>
      </c>
      <c r="M85" s="97" t="s">
        <v>9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</row>
    <row r="86" spans="1:239" customHeight="1" ht="13.2">
      <c r="A86" s="99"/>
      <c r="B86" s="97" t="s">
        <v>10</v>
      </c>
      <c r="C86" s="97"/>
      <c r="D86" s="14" t="s">
        <v>11</v>
      </c>
      <c r="E86" s="15" t="s">
        <v>12</v>
      </c>
      <c r="F86" s="15" t="s">
        <v>13</v>
      </c>
      <c r="G86" s="15" t="s">
        <v>14</v>
      </c>
      <c r="H86" s="15" t="s">
        <v>12</v>
      </c>
      <c r="I86" s="15" t="s">
        <v>12</v>
      </c>
      <c r="J86" s="15" t="s">
        <v>13</v>
      </c>
      <c r="K86" s="15" t="s">
        <v>14</v>
      </c>
      <c r="L86" s="14" t="s">
        <v>15</v>
      </c>
      <c r="M86" s="99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</row>
    <row r="87" spans="1:239" customHeight="1" ht="15.75">
      <c r="A87" s="63">
        <v>1</v>
      </c>
      <c r="B87" s="95">
        <v>2</v>
      </c>
      <c r="C87" s="96"/>
      <c r="D87" s="85">
        <v>3</v>
      </c>
      <c r="E87" s="85">
        <v>4</v>
      </c>
      <c r="F87" s="85">
        <v>5</v>
      </c>
      <c r="G87" s="86">
        <v>6</v>
      </c>
      <c r="H87" s="87">
        <v>7</v>
      </c>
      <c r="I87" s="85">
        <v>7</v>
      </c>
      <c r="J87" s="86">
        <v>8</v>
      </c>
      <c r="K87" s="88">
        <v>9</v>
      </c>
      <c r="L87" s="85">
        <v>10</v>
      </c>
      <c r="M87" s="85">
        <v>11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</row>
    <row r="88" spans="1:239" customHeight="1" ht="19.5">
      <c r="A88" s="3" t="s">
        <v>214</v>
      </c>
      <c r="B88" s="23" t="s">
        <v>215</v>
      </c>
      <c r="C88" s="11"/>
      <c r="D88" s="3" t="s">
        <v>20</v>
      </c>
      <c r="E88" s="3" t="s">
        <v>47</v>
      </c>
      <c r="F88" s="38">
        <v>200</v>
      </c>
      <c r="G88" s="38">
        <v>796</v>
      </c>
      <c r="H88" s="3"/>
      <c r="I88" s="3" t="s">
        <v>211</v>
      </c>
      <c r="J88" s="38">
        <v>250</v>
      </c>
      <c r="K88" s="38">
        <v>796</v>
      </c>
      <c r="L88" s="23" t="s">
        <v>216</v>
      </c>
      <c r="M88" s="11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</row>
    <row r="89" spans="1:239" customHeight="1" ht="13.2">
      <c r="A89" s="3" t="s">
        <v>217</v>
      </c>
      <c r="B89" s="23" t="s">
        <v>218</v>
      </c>
      <c r="C89" s="11"/>
      <c r="D89" s="3" t="s">
        <v>20</v>
      </c>
      <c r="E89" s="3" t="s">
        <v>47</v>
      </c>
      <c r="F89" s="38">
        <v>250</v>
      </c>
      <c r="G89" s="38">
        <v>1096</v>
      </c>
      <c r="H89" s="3"/>
      <c r="I89" s="3" t="s">
        <v>211</v>
      </c>
      <c r="J89" s="38">
        <v>250</v>
      </c>
      <c r="K89" s="38">
        <v>1067</v>
      </c>
      <c r="L89" s="23" t="s">
        <v>219</v>
      </c>
      <c r="M89" s="11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</row>
    <row r="90" spans="1:239" customHeight="1" ht="13.2">
      <c r="A90" s="3" t="s">
        <v>220</v>
      </c>
      <c r="B90" s="23" t="s">
        <v>221</v>
      </c>
      <c r="C90" s="11"/>
      <c r="D90" s="3" t="s">
        <v>20</v>
      </c>
      <c r="E90" s="3" t="s">
        <v>50</v>
      </c>
      <c r="F90" s="38">
        <v>350</v>
      </c>
      <c r="G90" s="38">
        <v>1378</v>
      </c>
      <c r="H90" s="3"/>
      <c r="I90" s="3" t="s">
        <v>222</v>
      </c>
      <c r="J90" s="38">
        <v>310</v>
      </c>
      <c r="K90" s="38">
        <v>1241</v>
      </c>
      <c r="L90" s="23" t="s">
        <v>221</v>
      </c>
      <c r="M90" s="11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</row>
    <row r="91" spans="1:239" customHeight="1" ht="13.2">
      <c r="A91" s="3" t="s">
        <v>223</v>
      </c>
      <c r="B91" s="23" t="s">
        <v>224</v>
      </c>
      <c r="C91" s="11"/>
      <c r="D91" s="3" t="s">
        <v>20</v>
      </c>
      <c r="E91" s="3" t="s">
        <v>225</v>
      </c>
      <c r="F91" s="38">
        <v>200</v>
      </c>
      <c r="G91" s="38">
        <v>819</v>
      </c>
      <c r="H91" s="3"/>
      <c r="I91" s="27" t="s">
        <v>226</v>
      </c>
      <c r="J91" s="38">
        <v>200</v>
      </c>
      <c r="K91" s="38">
        <v>850</v>
      </c>
      <c r="L91" s="23" t="s">
        <v>224</v>
      </c>
      <c r="M91" s="11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</row>
    <row r="92" spans="1:239" customHeight="1" ht="13.2">
      <c r="A92" s="3" t="s">
        <v>227</v>
      </c>
      <c r="B92" s="23" t="s">
        <v>228</v>
      </c>
      <c r="C92" s="11"/>
      <c r="D92" s="3" t="s">
        <v>38</v>
      </c>
      <c r="E92" s="3" t="s">
        <v>229</v>
      </c>
      <c r="F92" s="38">
        <v>300</v>
      </c>
      <c r="G92" s="38">
        <v>1030</v>
      </c>
      <c r="H92" s="3"/>
      <c r="I92" s="3">
        <v>2003</v>
      </c>
      <c r="J92" s="38">
        <v>300</v>
      </c>
      <c r="K92" s="38">
        <v>975</v>
      </c>
      <c r="L92" s="34" t="s">
        <v>43</v>
      </c>
      <c r="M92" s="11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</row>
    <row r="93" spans="1:239" customHeight="1" ht="13.2">
      <c r="A93" s="3" t="s">
        <v>230</v>
      </c>
      <c r="B93" s="23" t="s">
        <v>216</v>
      </c>
      <c r="C93" s="11"/>
      <c r="D93" s="3" t="s">
        <v>20</v>
      </c>
      <c r="E93" s="3">
        <v>2002</v>
      </c>
      <c r="F93" s="38">
        <v>250</v>
      </c>
      <c r="G93" s="38">
        <v>950</v>
      </c>
      <c r="H93" s="3"/>
      <c r="I93" s="3" t="s">
        <v>231</v>
      </c>
      <c r="J93" s="41">
        <v>250</v>
      </c>
      <c r="K93" s="38">
        <v>1003</v>
      </c>
      <c r="L93" s="23" t="s">
        <v>216</v>
      </c>
      <c r="M93" s="11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</row>
    <row r="94" spans="1:239" customHeight="1" ht="13.2">
      <c r="A94" s="3" t="s">
        <v>232</v>
      </c>
      <c r="B94" s="23" t="s">
        <v>233</v>
      </c>
      <c r="C94" s="11"/>
      <c r="D94" s="3" t="s">
        <v>38</v>
      </c>
      <c r="E94" s="3">
        <v>2008</v>
      </c>
      <c r="F94" s="38">
        <v>100</v>
      </c>
      <c r="G94" s="38">
        <v>375</v>
      </c>
      <c r="H94" s="3"/>
      <c r="I94" s="3">
        <v>2013</v>
      </c>
      <c r="J94" s="41">
        <v>100</v>
      </c>
      <c r="K94" s="38">
        <v>400</v>
      </c>
      <c r="L94" s="23" t="s">
        <v>233</v>
      </c>
      <c r="M94" s="11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</row>
    <row r="95" spans="1:239" customHeight="1" ht="13.2">
      <c r="A95" s="3"/>
      <c r="B95" s="91" t="s">
        <v>234</v>
      </c>
      <c r="C95" s="91"/>
      <c r="D95" s="11"/>
      <c r="E95" s="15"/>
      <c r="F95" s="72">
        <f>SUM(F82+F88+F89+F90+F91+F92+F93+F94)</f>
        <v>11751</v>
      </c>
      <c r="G95" s="72">
        <f>SUM(G82+G88+G89+G90+G91+G92+G93+G94)</f>
        <v>47062</v>
      </c>
      <c r="H95" s="15"/>
      <c r="I95" s="30" t="s">
        <v>43</v>
      </c>
      <c r="J95" s="72">
        <f>SUM(J82+J88+J89+J90+J91+J92+J93+J94)</f>
        <v>11797</v>
      </c>
      <c r="K95" s="72">
        <f>SUM(K82+K88+K89+K90+K91+K92+K93+K94)</f>
        <v>48400</v>
      </c>
      <c r="L95" s="34" t="s">
        <v>43</v>
      </c>
      <c r="M95" s="11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</row>
    <row r="96" spans="1:239" customHeight="1" ht="13.2">
      <c r="A96" s="3"/>
      <c r="B96" s="21"/>
      <c r="C96" s="21"/>
      <c r="D96" s="11"/>
      <c r="E96" s="15"/>
      <c r="F96" s="39"/>
      <c r="G96" s="39"/>
      <c r="H96" s="15"/>
      <c r="I96" s="30"/>
      <c r="J96" s="39"/>
      <c r="K96" s="39"/>
      <c r="L96" s="34"/>
      <c r="M96" s="11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</row>
    <row r="97" spans="1:239" customHeight="1" ht="13.2">
      <c r="A97" s="15" t="s">
        <v>235</v>
      </c>
      <c r="B97" s="21" t="s">
        <v>236</v>
      </c>
      <c r="C97" s="11"/>
      <c r="D97" s="11"/>
      <c r="E97" s="11"/>
      <c r="F97" s="38"/>
      <c r="G97" s="38"/>
      <c r="H97" s="11"/>
      <c r="I97" s="11"/>
      <c r="J97" s="38"/>
      <c r="K97" s="38"/>
      <c r="L97" s="11"/>
      <c r="M97" s="11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</row>
    <row r="98" spans="1:239" customHeight="1" ht="18.75">
      <c r="A98" s="3" t="s">
        <v>237</v>
      </c>
      <c r="B98" s="23" t="s">
        <v>238</v>
      </c>
      <c r="C98" s="11"/>
      <c r="D98" s="3" t="s">
        <v>38</v>
      </c>
      <c r="E98" s="3">
        <v>1957</v>
      </c>
      <c r="F98" s="38">
        <v>200</v>
      </c>
      <c r="G98" s="38">
        <v>1121</v>
      </c>
      <c r="H98" s="3"/>
      <c r="I98" s="30" t="s">
        <v>43</v>
      </c>
      <c r="J98" s="41">
        <v>200</v>
      </c>
      <c r="K98" s="38">
        <v>1130</v>
      </c>
      <c r="L98" s="34" t="s">
        <v>43</v>
      </c>
      <c r="M98" s="11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</row>
    <row r="99" spans="1:239" customHeight="1" ht="13.2">
      <c r="A99" s="3" t="s">
        <v>239</v>
      </c>
      <c r="B99" s="23" t="s">
        <v>240</v>
      </c>
      <c r="C99" s="11"/>
      <c r="D99" s="3" t="s">
        <v>38</v>
      </c>
      <c r="E99" s="3">
        <v>1959</v>
      </c>
      <c r="F99" s="38">
        <v>369</v>
      </c>
      <c r="G99" s="38">
        <v>1522</v>
      </c>
      <c r="H99" s="3"/>
      <c r="I99" s="30" t="s">
        <v>43</v>
      </c>
      <c r="J99" s="38">
        <v>350</v>
      </c>
      <c r="K99" s="38">
        <v>1487</v>
      </c>
      <c r="L99" s="34" t="s">
        <v>43</v>
      </c>
      <c r="M99" s="11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</row>
    <row r="100" spans="1:239" customHeight="1" ht="13.2">
      <c r="A100" s="3" t="s">
        <v>241</v>
      </c>
      <c r="B100" s="23" t="s">
        <v>242</v>
      </c>
      <c r="C100" s="11"/>
      <c r="D100" s="3" t="s">
        <v>38</v>
      </c>
      <c r="E100" s="3">
        <v>1961</v>
      </c>
      <c r="F100" s="38">
        <v>1045</v>
      </c>
      <c r="G100" s="38">
        <v>5125</v>
      </c>
      <c r="H100" s="3"/>
      <c r="I100" s="30" t="s">
        <v>43</v>
      </c>
      <c r="J100" s="38">
        <v>1045</v>
      </c>
      <c r="K100" s="38">
        <v>5160</v>
      </c>
      <c r="L100" s="34" t="s">
        <v>43</v>
      </c>
      <c r="M100" s="11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</row>
    <row r="101" spans="1:239" customHeight="1" ht="13.2">
      <c r="A101" s="3" t="s">
        <v>243</v>
      </c>
      <c r="B101" s="23" t="s">
        <v>244</v>
      </c>
      <c r="C101" s="11"/>
      <c r="D101" s="3" t="s">
        <v>38</v>
      </c>
      <c r="E101" s="3" t="s">
        <v>245</v>
      </c>
      <c r="F101" s="38">
        <v>890</v>
      </c>
      <c r="G101" s="38">
        <v>4269</v>
      </c>
      <c r="H101" s="3"/>
      <c r="I101" s="3" t="s">
        <v>22</v>
      </c>
      <c r="J101" s="38">
        <v>750</v>
      </c>
      <c r="K101" s="38">
        <v>3631</v>
      </c>
      <c r="L101" s="23" t="s">
        <v>246</v>
      </c>
      <c r="M101" s="11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</row>
    <row r="102" spans="1:239" customHeight="1" ht="13.2">
      <c r="A102" s="3"/>
      <c r="B102" s="23"/>
      <c r="C102" s="11"/>
      <c r="D102" s="3"/>
      <c r="E102" s="3"/>
      <c r="F102" s="38"/>
      <c r="G102" s="38"/>
      <c r="H102" s="3"/>
      <c r="I102" s="3"/>
      <c r="J102" s="38">
        <v>140</v>
      </c>
      <c r="K102" s="38">
        <v>838</v>
      </c>
      <c r="L102" s="23" t="s">
        <v>247</v>
      </c>
      <c r="M102" s="11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</row>
    <row r="103" spans="1:239" customHeight="1" ht="13.2">
      <c r="A103" s="3" t="s">
        <v>248</v>
      </c>
      <c r="B103" s="23" t="s">
        <v>249</v>
      </c>
      <c r="C103" s="11"/>
      <c r="D103" s="3" t="s">
        <v>38</v>
      </c>
      <c r="E103" s="3" t="s">
        <v>97</v>
      </c>
      <c r="F103" s="38">
        <v>750</v>
      </c>
      <c r="G103" s="38">
        <v>3242</v>
      </c>
      <c r="H103" s="3"/>
      <c r="I103" s="3" t="s">
        <v>250</v>
      </c>
      <c r="J103" s="38">
        <v>1215</v>
      </c>
      <c r="K103" s="38">
        <v>5401</v>
      </c>
      <c r="L103" s="23" t="s">
        <v>251</v>
      </c>
      <c r="M103" s="11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</row>
    <row r="104" spans="1:239" customHeight="1" ht="13.2">
      <c r="A104" s="3" t="s">
        <v>252</v>
      </c>
      <c r="B104" s="23" t="s">
        <v>253</v>
      </c>
      <c r="C104" s="11"/>
      <c r="D104" s="3" t="s">
        <v>38</v>
      </c>
      <c r="E104" s="3" t="s">
        <v>254</v>
      </c>
      <c r="F104" s="38">
        <v>500</v>
      </c>
      <c r="G104" s="38">
        <v>2134</v>
      </c>
      <c r="H104" s="3"/>
      <c r="I104" s="3" t="s">
        <v>255</v>
      </c>
      <c r="J104" s="38">
        <v>530</v>
      </c>
      <c r="K104" s="38">
        <v>2336</v>
      </c>
      <c r="L104" s="23" t="s">
        <v>256</v>
      </c>
      <c r="M104" s="11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</row>
    <row r="105" spans="1:239" customHeight="1" ht="13.2">
      <c r="A105" s="3" t="s">
        <v>257</v>
      </c>
      <c r="B105" s="23" t="s">
        <v>258</v>
      </c>
      <c r="C105" s="11"/>
      <c r="D105" s="3" t="s">
        <v>38</v>
      </c>
      <c r="E105" s="3" t="s">
        <v>254</v>
      </c>
      <c r="F105" s="38">
        <v>200</v>
      </c>
      <c r="G105" s="38">
        <v>910</v>
      </c>
      <c r="H105" s="3"/>
      <c r="I105" s="3" t="s">
        <v>255</v>
      </c>
      <c r="J105" s="38">
        <v>200</v>
      </c>
      <c r="K105" s="40" t="s">
        <v>43</v>
      </c>
      <c r="L105" s="23" t="s">
        <v>259</v>
      </c>
      <c r="M105" s="11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</row>
    <row r="106" spans="1:239" customHeight="1" ht="13.2">
      <c r="A106" s="3" t="s">
        <v>260</v>
      </c>
      <c r="B106" s="23" t="s">
        <v>261</v>
      </c>
      <c r="C106" s="11"/>
      <c r="D106" s="3" t="s">
        <v>38</v>
      </c>
      <c r="E106" s="3" t="s">
        <v>254</v>
      </c>
      <c r="F106" s="38">
        <v>550</v>
      </c>
      <c r="G106" s="38">
        <v>2235</v>
      </c>
      <c r="H106" s="3"/>
      <c r="I106" s="3" t="s">
        <v>255</v>
      </c>
      <c r="J106" s="38">
        <v>584</v>
      </c>
      <c r="K106" s="38">
        <v>2684</v>
      </c>
      <c r="L106" s="23" t="s">
        <v>262</v>
      </c>
      <c r="M106" s="11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</row>
    <row r="107" spans="1:239" customHeight="1" ht="13.2">
      <c r="A107" s="3" t="s">
        <v>263</v>
      </c>
      <c r="B107" s="23" t="s">
        <v>264</v>
      </c>
      <c r="C107" s="11"/>
      <c r="D107" s="3" t="s">
        <v>38</v>
      </c>
      <c r="E107" s="3" t="s">
        <v>153</v>
      </c>
      <c r="F107" s="38">
        <v>500</v>
      </c>
      <c r="G107" s="38">
        <v>2263</v>
      </c>
      <c r="H107" s="3"/>
      <c r="I107" s="3" t="s">
        <v>154</v>
      </c>
      <c r="J107" s="38">
        <v>531</v>
      </c>
      <c r="K107" s="38">
        <v>2446</v>
      </c>
      <c r="L107" s="23" t="s">
        <v>265</v>
      </c>
      <c r="M107" s="11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</row>
    <row r="108" spans="1:239" customHeight="1" ht="13.2">
      <c r="A108" s="3" t="s">
        <v>266</v>
      </c>
      <c r="B108" s="23" t="s">
        <v>267</v>
      </c>
      <c r="C108" s="11"/>
      <c r="D108" s="3" t="s">
        <v>38</v>
      </c>
      <c r="E108" s="3" t="s">
        <v>268</v>
      </c>
      <c r="F108" s="38">
        <v>800</v>
      </c>
      <c r="G108" s="38">
        <v>4428</v>
      </c>
      <c r="H108" s="3"/>
      <c r="I108" s="3" t="s">
        <v>154</v>
      </c>
      <c r="J108" s="38">
        <v>773</v>
      </c>
      <c r="K108" s="38">
        <v>3587</v>
      </c>
      <c r="L108" s="23" t="s">
        <v>269</v>
      </c>
      <c r="M108" s="11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</row>
    <row r="109" spans="1:239" customHeight="1" ht="13.2">
      <c r="A109" s="3" t="s">
        <v>270</v>
      </c>
      <c r="B109" s="23" t="s">
        <v>271</v>
      </c>
      <c r="C109" s="11"/>
      <c r="D109" s="3" t="s">
        <v>38</v>
      </c>
      <c r="E109" s="3" t="s">
        <v>268</v>
      </c>
      <c r="F109" s="38">
        <v>650</v>
      </c>
      <c r="G109" s="38">
        <v>2817</v>
      </c>
      <c r="H109" s="3"/>
      <c r="I109" s="3" t="s">
        <v>154</v>
      </c>
      <c r="J109" s="38">
        <v>650</v>
      </c>
      <c r="K109" s="38">
        <v>2604</v>
      </c>
      <c r="L109" s="23" t="s">
        <v>272</v>
      </c>
      <c r="M109" s="11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</row>
    <row r="110" spans="1:239" customHeight="1" ht="13.2">
      <c r="A110" s="3" t="s">
        <v>273</v>
      </c>
      <c r="B110" s="23" t="s">
        <v>274</v>
      </c>
      <c r="C110" s="11"/>
      <c r="D110" s="3" t="s">
        <v>38</v>
      </c>
      <c r="E110" s="3" t="s">
        <v>225</v>
      </c>
      <c r="F110" s="38">
        <v>350</v>
      </c>
      <c r="G110" s="38">
        <v>1225</v>
      </c>
      <c r="H110" s="3"/>
      <c r="I110" s="3" t="s">
        <v>275</v>
      </c>
      <c r="J110" s="38">
        <v>350</v>
      </c>
      <c r="K110" s="38">
        <v>1319</v>
      </c>
      <c r="L110" s="23" t="s">
        <v>276</v>
      </c>
      <c r="M110" s="11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</row>
    <row r="111" spans="1:239" customHeight="1" ht="13.2">
      <c r="A111" s="3" t="s">
        <v>277</v>
      </c>
      <c r="B111" s="23" t="s">
        <v>278</v>
      </c>
      <c r="C111" s="11"/>
      <c r="D111" s="3" t="s">
        <v>38</v>
      </c>
      <c r="E111" s="3" t="s">
        <v>279</v>
      </c>
      <c r="F111" s="38">
        <v>380</v>
      </c>
      <c r="G111" s="38">
        <v>1532</v>
      </c>
      <c r="H111" s="3"/>
      <c r="I111" s="22" t="s">
        <v>280</v>
      </c>
      <c r="J111" s="38">
        <v>380</v>
      </c>
      <c r="K111" s="38">
        <v>1648</v>
      </c>
      <c r="L111" s="23" t="s">
        <v>276</v>
      </c>
      <c r="M111" s="11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</row>
    <row r="112" spans="1:239" customHeight="1" ht="13.2">
      <c r="A112" s="3" t="s">
        <v>281</v>
      </c>
      <c r="B112" s="23" t="s">
        <v>282</v>
      </c>
      <c r="C112" s="11"/>
      <c r="D112" s="3" t="s">
        <v>38</v>
      </c>
      <c r="E112" s="3" t="s">
        <v>283</v>
      </c>
      <c r="F112" s="38">
        <v>500</v>
      </c>
      <c r="G112" s="38">
        <v>1881</v>
      </c>
      <c r="H112" s="3"/>
      <c r="I112" s="22" t="s">
        <v>284</v>
      </c>
      <c r="J112" s="38">
        <v>500</v>
      </c>
      <c r="K112" s="38">
        <v>1981</v>
      </c>
      <c r="L112" s="23" t="s">
        <v>285</v>
      </c>
      <c r="M112" s="11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</row>
    <row r="113" spans="1:239" customHeight="1" ht="13.2">
      <c r="A113" s="3" t="s">
        <v>286</v>
      </c>
      <c r="B113" s="23" t="s">
        <v>287</v>
      </c>
      <c r="C113" s="11"/>
      <c r="D113" s="3" t="s">
        <v>38</v>
      </c>
      <c r="E113" s="3" t="s">
        <v>288</v>
      </c>
      <c r="F113" s="38">
        <v>400</v>
      </c>
      <c r="G113" s="38">
        <v>1450</v>
      </c>
      <c r="H113" s="3"/>
      <c r="I113" s="22" t="s">
        <v>284</v>
      </c>
      <c r="J113" s="38">
        <v>400</v>
      </c>
      <c r="K113" s="38">
        <v>1533</v>
      </c>
      <c r="L113" s="23" t="s">
        <v>289</v>
      </c>
      <c r="M113" s="11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</row>
    <row r="114" spans="1:239" customHeight="1" ht="13.2">
      <c r="A114" s="3" t="s">
        <v>290</v>
      </c>
      <c r="B114" s="23" t="s">
        <v>291</v>
      </c>
      <c r="C114" s="11"/>
      <c r="D114" s="3" t="s">
        <v>38</v>
      </c>
      <c r="E114" s="3" t="s">
        <v>292</v>
      </c>
      <c r="F114" s="38">
        <v>400</v>
      </c>
      <c r="G114" s="38">
        <v>1600</v>
      </c>
      <c r="H114" s="3"/>
      <c r="I114" s="27" t="s">
        <v>293</v>
      </c>
      <c r="J114" s="73">
        <v>400</v>
      </c>
      <c r="K114" s="73">
        <v>1641</v>
      </c>
      <c r="L114" s="35" t="s">
        <v>291</v>
      </c>
      <c r="M114" s="11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</row>
    <row r="115" spans="1:239" customHeight="1" ht="13.2">
      <c r="A115" s="3" t="s">
        <v>294</v>
      </c>
      <c r="B115" s="23" t="s">
        <v>295</v>
      </c>
      <c r="C115" s="11"/>
      <c r="D115" s="3" t="s">
        <v>38</v>
      </c>
      <c r="E115" s="3">
        <v>2004</v>
      </c>
      <c r="F115" s="38">
        <v>250</v>
      </c>
      <c r="G115" s="38">
        <v>949</v>
      </c>
      <c r="H115" s="3"/>
      <c r="I115" s="22" t="s">
        <v>296</v>
      </c>
      <c r="J115" s="38">
        <v>250</v>
      </c>
      <c r="K115" s="38">
        <v>1058</v>
      </c>
      <c r="L115" s="35" t="s">
        <v>297</v>
      </c>
      <c r="M115" s="11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</row>
    <row r="116" spans="1:239" customHeight="1" ht="13.2">
      <c r="A116" s="3" t="s">
        <v>298</v>
      </c>
      <c r="B116" s="23" t="s">
        <v>299</v>
      </c>
      <c r="C116" s="11"/>
      <c r="D116" s="3" t="s">
        <v>38</v>
      </c>
      <c r="E116" s="3" t="s">
        <v>300</v>
      </c>
      <c r="F116" s="38">
        <v>450</v>
      </c>
      <c r="G116" s="38">
        <v>1800</v>
      </c>
      <c r="H116" s="3"/>
      <c r="I116" s="22">
        <v>2012</v>
      </c>
      <c r="J116" s="38">
        <v>450</v>
      </c>
      <c r="K116" s="38">
        <v>1833</v>
      </c>
      <c r="L116" s="35" t="s">
        <v>301</v>
      </c>
      <c r="M116" s="11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</row>
    <row r="117" spans="1:239" customHeight="1" ht="13.2">
      <c r="A117" s="3" t="s">
        <v>302</v>
      </c>
      <c r="B117" s="23" t="s">
        <v>303</v>
      </c>
      <c r="C117" s="11"/>
      <c r="D117" s="3" t="s">
        <v>38</v>
      </c>
      <c r="E117" s="3" t="s">
        <v>304</v>
      </c>
      <c r="F117" s="38">
        <v>375</v>
      </c>
      <c r="G117" s="38">
        <v>1500</v>
      </c>
      <c r="H117" s="3"/>
      <c r="I117" s="22">
        <v>2011</v>
      </c>
      <c r="J117" s="38">
        <v>375</v>
      </c>
      <c r="K117" s="38">
        <v>1536</v>
      </c>
      <c r="L117" s="35" t="s">
        <v>303</v>
      </c>
      <c r="M117" s="11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</row>
    <row r="118" spans="1:239" customHeight="1" ht="13.2">
      <c r="A118" s="3" t="s">
        <v>305</v>
      </c>
      <c r="B118" s="23" t="s">
        <v>306</v>
      </c>
      <c r="C118" s="11"/>
      <c r="D118" s="3" t="s">
        <v>38</v>
      </c>
      <c r="E118" s="3">
        <v>2009</v>
      </c>
      <c r="F118" s="38">
        <v>250</v>
      </c>
      <c r="G118" s="38">
        <v>1000</v>
      </c>
      <c r="H118" s="3"/>
      <c r="I118" s="22">
        <v>2015</v>
      </c>
      <c r="J118" s="38">
        <v>250</v>
      </c>
      <c r="K118" s="38">
        <v>1020</v>
      </c>
      <c r="L118" s="35" t="s">
        <v>307</v>
      </c>
      <c r="M118" s="11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</row>
    <row r="119" spans="1:239" customHeight="1" ht="13.2">
      <c r="A119" s="3"/>
      <c r="B119" s="23"/>
      <c r="C119" s="11"/>
      <c r="D119" s="3"/>
      <c r="E119" s="3"/>
      <c r="F119" s="38"/>
      <c r="G119" s="38"/>
      <c r="H119" s="3"/>
      <c r="I119" s="22"/>
      <c r="J119" s="38"/>
      <c r="K119" s="38"/>
      <c r="L119" s="35"/>
      <c r="M119" s="11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</row>
    <row r="120" spans="1:239" customHeight="1" ht="13.2">
      <c r="A120" s="3"/>
      <c r="B120" s="91" t="s">
        <v>308</v>
      </c>
      <c r="C120" s="91"/>
      <c r="D120" s="11"/>
      <c r="E120" s="15"/>
      <c r="F120" s="72">
        <f>SUM(F98:F118)</f>
        <v>9809</v>
      </c>
      <c r="G120" s="72">
        <f>SUM(G98:G118)</f>
        <v>43003</v>
      </c>
      <c r="H120" s="74"/>
      <c r="I120" s="76" t="s">
        <v>43</v>
      </c>
      <c r="J120" s="72">
        <f>SUM(J98:J118)</f>
        <v>10323</v>
      </c>
      <c r="K120" s="72">
        <f>SUM(K98:K118)</f>
        <v>44873</v>
      </c>
      <c r="L120" s="34" t="s">
        <v>43</v>
      </c>
      <c r="M120" s="11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</row>
    <row r="121" spans="1:239" customHeight="1" ht="13.2">
      <c r="A121" s="3"/>
      <c r="B121" s="23"/>
      <c r="C121" s="11"/>
      <c r="D121" s="11"/>
      <c r="E121" s="15"/>
      <c r="F121" s="39"/>
      <c r="G121" s="39"/>
      <c r="H121" s="15"/>
      <c r="I121" s="30"/>
      <c r="J121" s="39"/>
      <c r="K121" s="39"/>
      <c r="L121" s="34"/>
      <c r="M121" s="11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</row>
    <row r="122" spans="1:239" customHeight="1" ht="13.2">
      <c r="A122" s="15" t="s">
        <v>309</v>
      </c>
      <c r="B122" s="21" t="s">
        <v>310</v>
      </c>
      <c r="C122" s="11"/>
      <c r="D122" s="3"/>
      <c r="E122" s="11"/>
      <c r="F122" s="38"/>
      <c r="G122" s="38"/>
      <c r="H122" s="11"/>
      <c r="I122" s="11"/>
      <c r="J122" s="38"/>
      <c r="K122" s="38"/>
      <c r="L122" s="11"/>
      <c r="M122" s="11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</row>
    <row r="123" spans="1:239" customHeight="1" ht="18">
      <c r="A123" s="3" t="s">
        <v>311</v>
      </c>
      <c r="B123" s="23" t="s">
        <v>312</v>
      </c>
      <c r="C123" s="11"/>
      <c r="D123" s="3" t="s">
        <v>20</v>
      </c>
      <c r="E123" s="3">
        <v>1958</v>
      </c>
      <c r="F123" s="38">
        <v>506</v>
      </c>
      <c r="G123" s="38">
        <v>2179</v>
      </c>
      <c r="H123" s="11"/>
      <c r="I123" s="3" t="s">
        <v>22</v>
      </c>
      <c r="J123" s="41">
        <v>506</v>
      </c>
      <c r="K123" s="38">
        <v>2189</v>
      </c>
      <c r="L123" s="23" t="s">
        <v>313</v>
      </c>
      <c r="M123" s="11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</row>
    <row r="124" spans="1:239" customHeight="1" ht="13.2">
      <c r="A124" s="3" t="s">
        <v>314</v>
      </c>
      <c r="B124" s="23" t="s">
        <v>315</v>
      </c>
      <c r="C124" s="11"/>
      <c r="D124" s="3" t="s">
        <v>20</v>
      </c>
      <c r="E124" s="3">
        <v>1961</v>
      </c>
      <c r="F124" s="38">
        <v>128</v>
      </c>
      <c r="G124" s="38">
        <v>565</v>
      </c>
      <c r="H124" s="11"/>
      <c r="I124" s="3" t="s">
        <v>22</v>
      </c>
      <c r="J124" s="41">
        <v>170</v>
      </c>
      <c r="K124" s="38">
        <v>784</v>
      </c>
      <c r="L124" s="23" t="s">
        <v>315</v>
      </c>
      <c r="M124" s="11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</row>
    <row r="125" spans="1:239" customHeight="1" ht="13.2">
      <c r="A125" s="3" t="s">
        <v>316</v>
      </c>
      <c r="B125" s="23" t="s">
        <v>317</v>
      </c>
      <c r="C125" s="11"/>
      <c r="D125" s="3" t="s">
        <v>20</v>
      </c>
      <c r="E125" s="3" t="s">
        <v>187</v>
      </c>
      <c r="F125" s="38">
        <v>2000</v>
      </c>
      <c r="G125" s="38">
        <v>6095</v>
      </c>
      <c r="H125" s="11"/>
      <c r="I125" s="3" t="s">
        <v>318</v>
      </c>
      <c r="J125" s="38">
        <v>297</v>
      </c>
      <c r="K125" s="38">
        <v>1010</v>
      </c>
      <c r="L125" s="23" t="s">
        <v>319</v>
      </c>
      <c r="M125" s="11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</row>
    <row r="126" spans="1:239" customHeight="1" ht="13.2">
      <c r="A126" s="3"/>
      <c r="B126" s="23"/>
      <c r="C126" s="11"/>
      <c r="D126" s="3"/>
      <c r="E126" s="11"/>
      <c r="F126" s="38"/>
      <c r="G126" s="38"/>
      <c r="H126" s="11"/>
      <c r="I126" s="3" t="s">
        <v>318</v>
      </c>
      <c r="J126" s="38">
        <v>306</v>
      </c>
      <c r="K126" s="38">
        <v>1419</v>
      </c>
      <c r="L126" s="23" t="s">
        <v>320</v>
      </c>
      <c r="M126" s="11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</row>
    <row r="127" spans="1:239" customHeight="1" ht="13.2">
      <c r="A127" s="3"/>
      <c r="B127" s="23"/>
      <c r="C127" s="11"/>
      <c r="D127" s="3"/>
      <c r="E127" s="11"/>
      <c r="F127" s="38"/>
      <c r="G127" s="38"/>
      <c r="H127" s="11"/>
      <c r="I127" s="3" t="s">
        <v>318</v>
      </c>
      <c r="J127" s="38">
        <v>488</v>
      </c>
      <c r="K127" s="38">
        <v>1357</v>
      </c>
      <c r="L127" s="23" t="s">
        <v>321</v>
      </c>
      <c r="M127" s="11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</row>
    <row r="128" spans="1:239" customHeight="1" ht="13.2">
      <c r="A128" s="3"/>
      <c r="B128" s="23"/>
      <c r="C128" s="11"/>
      <c r="D128" s="3"/>
      <c r="E128" s="11"/>
      <c r="F128" s="38"/>
      <c r="G128" s="38"/>
      <c r="H128" s="11"/>
      <c r="I128" s="3" t="s">
        <v>318</v>
      </c>
      <c r="J128" s="38">
        <v>459</v>
      </c>
      <c r="K128" s="38">
        <v>1116</v>
      </c>
      <c r="L128" s="23" t="s">
        <v>322</v>
      </c>
      <c r="M128" s="11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</row>
    <row r="129" spans="1:239" customHeight="1" ht="13.2">
      <c r="A129" s="3"/>
      <c r="B129" s="23"/>
      <c r="C129" s="11"/>
      <c r="D129" s="3"/>
      <c r="E129" s="3"/>
      <c r="F129" s="38"/>
      <c r="G129" s="38"/>
      <c r="H129" s="3"/>
      <c r="I129" s="3" t="s">
        <v>318</v>
      </c>
      <c r="J129" s="38">
        <v>450</v>
      </c>
      <c r="K129" s="38">
        <v>1193</v>
      </c>
      <c r="L129" s="23" t="s">
        <v>323</v>
      </c>
      <c r="M129" s="11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</row>
    <row r="130" spans="1:239" customHeight="1" ht="13.2">
      <c r="A130" s="3"/>
      <c r="B130" s="49"/>
      <c r="C130" s="31"/>
      <c r="D130" s="48"/>
      <c r="E130" s="3"/>
      <c r="F130" s="39">
        <f>SUM(F123:F129)</f>
        <v>2634</v>
      </c>
      <c r="G130" s="39">
        <f>SUM(G123:G129)</f>
        <v>8839</v>
      </c>
      <c r="H130" s="15"/>
      <c r="I130" s="15"/>
      <c r="J130" s="39">
        <f>SUM(J123:J129)</f>
        <v>2676</v>
      </c>
      <c r="K130" s="39">
        <f>SUM(K123:K129)</f>
        <v>9068</v>
      </c>
      <c r="L130" s="49"/>
      <c r="M130" s="11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</row>
    <row r="131" spans="1:239" customHeight="1" ht="13.2">
      <c r="A131" s="52"/>
      <c r="B131" s="55"/>
      <c r="C131" s="7"/>
      <c r="D131" s="52"/>
      <c r="E131" s="52"/>
      <c r="F131" s="53"/>
      <c r="G131" s="53"/>
      <c r="H131" s="52"/>
      <c r="I131" s="52"/>
      <c r="J131" s="53"/>
      <c r="K131" s="53"/>
      <c r="L131" s="55"/>
      <c r="M131" s="7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</row>
    <row r="132" spans="1:239" customHeight="1" ht="13.2">
      <c r="A132" s="9"/>
      <c r="B132" s="4"/>
      <c r="C132" s="5"/>
      <c r="D132" s="9"/>
      <c r="E132" s="9"/>
      <c r="F132" s="46"/>
      <c r="G132" s="46"/>
      <c r="H132" s="9"/>
      <c r="I132" s="9"/>
      <c r="J132" s="46"/>
      <c r="K132" s="46"/>
      <c r="L132" s="4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</row>
    <row r="133" spans="1:239" customHeight="1" ht="13.8">
      <c r="A133" s="58"/>
      <c r="B133" s="61"/>
      <c r="C133" s="57"/>
      <c r="D133" s="58"/>
      <c r="E133" s="58"/>
      <c r="F133" s="59"/>
      <c r="G133" s="59"/>
      <c r="H133" s="58"/>
      <c r="I133" s="58"/>
      <c r="J133" s="59"/>
      <c r="K133" s="59"/>
      <c r="L133" s="61"/>
      <c r="M133" s="84" t="s">
        <v>324</v>
      </c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</row>
    <row r="134" spans="1:239" customHeight="1" ht="13.8">
      <c r="A134" s="97" t="s">
        <v>3</v>
      </c>
      <c r="B134" s="100" t="s">
        <v>4</v>
      </c>
      <c r="C134" s="100"/>
      <c r="D134" s="8" t="s">
        <v>5</v>
      </c>
      <c r="E134" s="97" t="s">
        <v>6</v>
      </c>
      <c r="F134" s="97"/>
      <c r="G134" s="97"/>
      <c r="H134" s="50"/>
      <c r="I134" s="97" t="s">
        <v>7</v>
      </c>
      <c r="J134" s="97"/>
      <c r="K134" s="97"/>
      <c r="L134" s="8" t="s">
        <v>8</v>
      </c>
      <c r="M134" s="97" t="s">
        <v>9</v>
      </c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</row>
    <row r="135" spans="1:239" customHeight="1" ht="13.2">
      <c r="A135" s="99"/>
      <c r="B135" s="97" t="s">
        <v>10</v>
      </c>
      <c r="C135" s="97"/>
      <c r="D135" s="14" t="s">
        <v>11</v>
      </c>
      <c r="E135" s="15" t="s">
        <v>12</v>
      </c>
      <c r="F135" s="15" t="s">
        <v>13</v>
      </c>
      <c r="G135" s="15" t="s">
        <v>14</v>
      </c>
      <c r="H135" s="15" t="s">
        <v>12</v>
      </c>
      <c r="I135" s="15" t="s">
        <v>12</v>
      </c>
      <c r="J135" s="15" t="s">
        <v>13</v>
      </c>
      <c r="K135" s="15" t="s">
        <v>14</v>
      </c>
      <c r="L135" s="14" t="s">
        <v>15</v>
      </c>
      <c r="M135" s="99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</row>
    <row r="136" spans="1:239" customHeight="1" ht="13.2">
      <c r="A136" s="63">
        <v>1</v>
      </c>
      <c r="B136" s="95">
        <v>2</v>
      </c>
      <c r="C136" s="96"/>
      <c r="D136" s="85">
        <v>3</v>
      </c>
      <c r="E136" s="85">
        <v>4</v>
      </c>
      <c r="F136" s="85">
        <v>5</v>
      </c>
      <c r="G136" s="86">
        <v>6</v>
      </c>
      <c r="H136" s="87">
        <v>7</v>
      </c>
      <c r="I136" s="85">
        <v>7</v>
      </c>
      <c r="J136" s="86">
        <v>8</v>
      </c>
      <c r="K136" s="88">
        <v>9</v>
      </c>
      <c r="L136" s="85">
        <v>10</v>
      </c>
      <c r="M136" s="85">
        <v>11</v>
      </c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</row>
    <row r="137" spans="1:239" customHeight="1" ht="21">
      <c r="A137" s="3" t="s">
        <v>325</v>
      </c>
      <c r="B137" s="23" t="s">
        <v>326</v>
      </c>
      <c r="C137" s="11"/>
      <c r="D137" s="3" t="s">
        <v>20</v>
      </c>
      <c r="E137" s="3" t="s">
        <v>254</v>
      </c>
      <c r="F137" s="89">
        <v>2000</v>
      </c>
      <c r="G137" s="38">
        <v>8224</v>
      </c>
      <c r="H137" s="3"/>
      <c r="I137" s="3" t="s">
        <v>327</v>
      </c>
      <c r="J137" s="38">
        <v>356</v>
      </c>
      <c r="K137" s="38">
        <v>1544</v>
      </c>
      <c r="L137" s="23" t="s">
        <v>328</v>
      </c>
      <c r="M137" s="11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</row>
    <row r="138" spans="1:239" customHeight="1" ht="15">
      <c r="A138" s="3"/>
      <c r="B138" s="23"/>
      <c r="C138" s="11"/>
      <c r="D138" s="3"/>
      <c r="E138" s="3"/>
      <c r="F138" s="38"/>
      <c r="G138" s="38"/>
      <c r="H138" s="3"/>
      <c r="I138" s="3"/>
      <c r="J138" s="38">
        <v>658</v>
      </c>
      <c r="K138" s="38">
        <v>2945</v>
      </c>
      <c r="L138" s="23" t="s">
        <v>269</v>
      </c>
      <c r="M138" s="11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</row>
    <row r="139" spans="1:239" customHeight="1" ht="15">
      <c r="A139" s="3"/>
      <c r="B139" s="23"/>
      <c r="C139" s="11"/>
      <c r="D139" s="3"/>
      <c r="E139" s="3"/>
      <c r="F139" s="38"/>
      <c r="G139" s="38"/>
      <c r="H139" s="3"/>
      <c r="I139" s="3"/>
      <c r="J139" s="38">
        <v>472</v>
      </c>
      <c r="K139" s="38">
        <v>1172</v>
      </c>
      <c r="L139" s="23" t="s">
        <v>328</v>
      </c>
      <c r="M139" s="11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</row>
    <row r="140" spans="1:239" customHeight="1" ht="2.25" hidden="true">
      <c r="A140" s="3"/>
      <c r="B140" s="23"/>
      <c r="C140" s="11"/>
      <c r="D140" s="3"/>
      <c r="E140" s="11"/>
      <c r="F140" s="38"/>
      <c r="G140" s="38"/>
      <c r="H140" s="11"/>
      <c r="I140" s="11"/>
      <c r="J140" s="38"/>
      <c r="K140" s="38"/>
      <c r="L140" s="23"/>
      <c r="M140" s="11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</row>
    <row r="141" spans="1:239" customHeight="1" ht="14.25">
      <c r="A141" s="3"/>
      <c r="B141" s="23"/>
      <c r="C141" s="11"/>
      <c r="D141" s="3"/>
      <c r="E141" s="11"/>
      <c r="F141" s="38"/>
      <c r="G141" s="38"/>
      <c r="H141" s="11"/>
      <c r="I141" s="11"/>
      <c r="J141" s="38">
        <v>514</v>
      </c>
      <c r="K141" s="38">
        <v>1799</v>
      </c>
      <c r="L141" s="23"/>
      <c r="M141" s="11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</row>
    <row r="142" spans="1:239" customHeight="1" ht="13.2">
      <c r="A142" s="3" t="s">
        <v>329</v>
      </c>
      <c r="B142" s="23" t="s">
        <v>330</v>
      </c>
      <c r="C142" s="11"/>
      <c r="D142" s="3" t="s">
        <v>20</v>
      </c>
      <c r="E142" s="3" t="s">
        <v>254</v>
      </c>
      <c r="F142" s="38">
        <v>1650</v>
      </c>
      <c r="G142" s="38">
        <v>6940</v>
      </c>
      <c r="H142" s="3"/>
      <c r="I142" s="3" t="s">
        <v>154</v>
      </c>
      <c r="J142" s="38">
        <v>1650</v>
      </c>
      <c r="K142" s="38">
        <v>6940</v>
      </c>
      <c r="L142" s="23" t="s">
        <v>331</v>
      </c>
      <c r="M142" s="11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</row>
    <row r="143" spans="1:239" customHeight="1" ht="13.2">
      <c r="A143" s="3" t="s">
        <v>332</v>
      </c>
      <c r="B143" s="23" t="s">
        <v>333</v>
      </c>
      <c r="C143" s="11"/>
      <c r="D143" s="3" t="s">
        <v>20</v>
      </c>
      <c r="E143" s="3" t="s">
        <v>254</v>
      </c>
      <c r="F143" s="38">
        <v>2000</v>
      </c>
      <c r="G143" s="38">
        <v>8583</v>
      </c>
      <c r="H143" s="3"/>
      <c r="I143" s="3" t="s">
        <v>154</v>
      </c>
      <c r="J143" s="38">
        <v>530</v>
      </c>
      <c r="K143" s="38">
        <v>2430</v>
      </c>
      <c r="L143" s="23" t="s">
        <v>334</v>
      </c>
      <c r="M143" s="11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</row>
    <row r="144" spans="1:239" customHeight="1" ht="13.2">
      <c r="A144" s="3"/>
      <c r="B144" s="20"/>
      <c r="C144" s="11"/>
      <c r="D144" s="3"/>
      <c r="E144" s="3" t="s">
        <v>254</v>
      </c>
      <c r="F144" s="40" t="s">
        <v>43</v>
      </c>
      <c r="G144" s="40" t="s">
        <v>43</v>
      </c>
      <c r="H144" s="3"/>
      <c r="I144" s="3" t="s">
        <v>335</v>
      </c>
      <c r="J144" s="38">
        <v>430</v>
      </c>
      <c r="K144" s="38">
        <v>1953</v>
      </c>
      <c r="L144" s="23" t="s">
        <v>319</v>
      </c>
      <c r="M144" s="11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</row>
    <row r="145" spans="1:239" customHeight="1" ht="13.2">
      <c r="A145" s="3"/>
      <c r="B145" s="20"/>
      <c r="C145" s="11"/>
      <c r="D145" s="3"/>
      <c r="E145" s="3" t="s">
        <v>254</v>
      </c>
      <c r="F145" s="40" t="s">
        <v>43</v>
      </c>
      <c r="G145" s="40" t="s">
        <v>43</v>
      </c>
      <c r="H145" s="3"/>
      <c r="I145" s="3" t="s">
        <v>336</v>
      </c>
      <c r="J145" s="38">
        <v>550</v>
      </c>
      <c r="K145" s="38">
        <v>2385</v>
      </c>
      <c r="L145" s="23" t="s">
        <v>337</v>
      </c>
      <c r="M145" s="11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</row>
    <row r="146" spans="1:239" customHeight="1" ht="13.2">
      <c r="A146" s="3"/>
      <c r="B146" s="20"/>
      <c r="C146" s="11"/>
      <c r="D146" s="3"/>
      <c r="E146" s="3" t="s">
        <v>254</v>
      </c>
      <c r="F146" s="40" t="s">
        <v>43</v>
      </c>
      <c r="G146" s="40" t="s">
        <v>43</v>
      </c>
      <c r="H146" s="3"/>
      <c r="I146" s="3" t="s">
        <v>335</v>
      </c>
      <c r="J146" s="38">
        <v>490</v>
      </c>
      <c r="K146" s="38">
        <v>2186</v>
      </c>
      <c r="L146" s="23" t="s">
        <v>338</v>
      </c>
      <c r="M146" s="11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</row>
    <row r="147" spans="1:239" customHeight="1" ht="13.2">
      <c r="A147" s="3"/>
      <c r="B147" s="20"/>
      <c r="C147" s="11"/>
      <c r="D147" s="3"/>
      <c r="E147" s="3"/>
      <c r="F147" s="38"/>
      <c r="G147" s="38"/>
      <c r="H147" s="3"/>
      <c r="I147" s="3"/>
      <c r="J147" s="38"/>
      <c r="K147" s="38"/>
      <c r="L147" s="3"/>
      <c r="M147" s="11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</row>
    <row r="148" spans="1:239" customHeight="1" ht="13.2">
      <c r="A148" s="3"/>
      <c r="B148" s="20"/>
      <c r="C148" s="11"/>
      <c r="D148" s="3"/>
      <c r="E148" s="3"/>
      <c r="F148" s="38"/>
      <c r="G148" s="38"/>
      <c r="H148" s="3"/>
      <c r="I148" s="3"/>
      <c r="J148" s="38"/>
      <c r="K148" s="38"/>
      <c r="L148" s="3"/>
      <c r="M148" s="11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</row>
    <row r="149" spans="1:239" customHeight="1" ht="13.2">
      <c r="A149" s="3" t="s">
        <v>339</v>
      </c>
      <c r="B149" s="20" t="s">
        <v>340</v>
      </c>
      <c r="C149" s="11"/>
      <c r="D149" s="3" t="s">
        <v>20</v>
      </c>
      <c r="E149" s="3" t="s">
        <v>153</v>
      </c>
      <c r="F149" s="38">
        <v>2000</v>
      </c>
      <c r="G149" s="38">
        <v>8583</v>
      </c>
      <c r="H149" s="3"/>
      <c r="I149" s="3" t="s">
        <v>154</v>
      </c>
      <c r="J149" s="38">
        <v>350</v>
      </c>
      <c r="K149" s="38">
        <v>1587</v>
      </c>
      <c r="L149" s="23" t="s">
        <v>341</v>
      </c>
      <c r="M149" s="11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</row>
    <row r="150" spans="1:239" customHeight="1" ht="13.2">
      <c r="A150" s="3"/>
      <c r="B150" s="20"/>
      <c r="C150" s="11"/>
      <c r="D150" s="3"/>
      <c r="E150" s="3" t="s">
        <v>153</v>
      </c>
      <c r="F150" s="40" t="s">
        <v>43</v>
      </c>
      <c r="G150" s="40" t="s">
        <v>43</v>
      </c>
      <c r="H150" s="3"/>
      <c r="I150" s="3" t="s">
        <v>154</v>
      </c>
      <c r="J150" s="38">
        <v>121</v>
      </c>
      <c r="K150" s="38">
        <v>536</v>
      </c>
      <c r="L150" s="23" t="s">
        <v>342</v>
      </c>
      <c r="M150" s="11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</row>
    <row r="151" spans="1:239" customHeight="1" ht="13.2">
      <c r="A151" s="3"/>
      <c r="B151" s="20"/>
      <c r="C151" s="11"/>
      <c r="D151" s="3"/>
      <c r="E151" s="3" t="s">
        <v>153</v>
      </c>
      <c r="F151" s="40" t="s">
        <v>43</v>
      </c>
      <c r="G151" s="40" t="s">
        <v>43</v>
      </c>
      <c r="H151" s="3"/>
      <c r="I151" s="3" t="s">
        <v>154</v>
      </c>
      <c r="J151" s="38">
        <v>413</v>
      </c>
      <c r="K151" s="38">
        <v>1738</v>
      </c>
      <c r="L151" s="23" t="s">
        <v>343</v>
      </c>
      <c r="M151" s="11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</row>
    <row r="152" spans="1:239" customHeight="1" ht="13.2">
      <c r="A152" s="3"/>
      <c r="B152" s="20"/>
      <c r="C152" s="11"/>
      <c r="D152" s="3"/>
      <c r="E152" s="3" t="s">
        <v>153</v>
      </c>
      <c r="F152" s="40" t="s">
        <v>43</v>
      </c>
      <c r="G152" s="40" t="s">
        <v>43</v>
      </c>
      <c r="H152" s="3"/>
      <c r="I152" s="3" t="s">
        <v>154</v>
      </c>
      <c r="J152" s="38">
        <v>609</v>
      </c>
      <c r="K152" s="38">
        <v>2497</v>
      </c>
      <c r="L152" s="23" t="s">
        <v>344</v>
      </c>
      <c r="M152" s="11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</row>
    <row r="153" spans="1:239" customHeight="1" ht="13.2">
      <c r="A153" s="3"/>
      <c r="B153" s="20"/>
      <c r="C153" s="11"/>
      <c r="D153" s="3"/>
      <c r="E153" s="3" t="s">
        <v>153</v>
      </c>
      <c r="F153" s="40" t="s">
        <v>43</v>
      </c>
      <c r="G153" s="40" t="s">
        <v>43</v>
      </c>
      <c r="H153" s="3"/>
      <c r="I153" s="3" t="s">
        <v>154</v>
      </c>
      <c r="J153" s="38">
        <v>507</v>
      </c>
      <c r="K153" s="38">
        <v>2205</v>
      </c>
      <c r="L153" s="23" t="s">
        <v>345</v>
      </c>
      <c r="M153" s="11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</row>
    <row r="154" spans="1:239" customHeight="1" ht="13.2">
      <c r="A154" s="3" t="s">
        <v>346</v>
      </c>
      <c r="B154" s="20" t="s">
        <v>347</v>
      </c>
      <c r="C154" s="11"/>
      <c r="D154" s="3" t="s">
        <v>20</v>
      </c>
      <c r="E154" s="3" t="s">
        <v>348</v>
      </c>
      <c r="F154" s="38">
        <v>1000</v>
      </c>
      <c r="G154" s="38">
        <v>4363</v>
      </c>
      <c r="H154" s="3"/>
      <c r="I154" s="3" t="s">
        <v>154</v>
      </c>
      <c r="J154" s="38">
        <v>500</v>
      </c>
      <c r="K154" s="38">
        <v>2323</v>
      </c>
      <c r="L154" s="23" t="s">
        <v>349</v>
      </c>
      <c r="M154" s="11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</row>
    <row r="155" spans="1:239" customHeight="1" ht="13.2">
      <c r="A155" s="3"/>
      <c r="B155" s="20"/>
      <c r="C155" s="11"/>
      <c r="D155" s="3"/>
      <c r="E155" s="3" t="s">
        <v>348</v>
      </c>
      <c r="F155" s="40" t="s">
        <v>43</v>
      </c>
      <c r="G155" s="40" t="s">
        <v>43</v>
      </c>
      <c r="H155" s="3"/>
      <c r="I155" s="3" t="s">
        <v>154</v>
      </c>
      <c r="J155" s="38">
        <v>200</v>
      </c>
      <c r="K155" s="38">
        <v>889</v>
      </c>
      <c r="L155" s="23" t="s">
        <v>350</v>
      </c>
      <c r="M155" s="11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</row>
    <row r="156" spans="1:239" customHeight="1" ht="13.2">
      <c r="A156" s="3"/>
      <c r="B156" s="20"/>
      <c r="C156" s="11"/>
      <c r="D156" s="3"/>
      <c r="E156" s="3" t="s">
        <v>348</v>
      </c>
      <c r="F156" s="40" t="s">
        <v>43</v>
      </c>
      <c r="G156" s="40" t="s">
        <v>43</v>
      </c>
      <c r="H156" s="3"/>
      <c r="I156" s="3" t="s">
        <v>154</v>
      </c>
      <c r="J156" s="38">
        <v>300</v>
      </c>
      <c r="K156" s="38">
        <v>1191</v>
      </c>
      <c r="L156" s="23" t="s">
        <v>351</v>
      </c>
      <c r="M156" s="11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</row>
    <row r="157" spans="1:239" customHeight="1" ht="13.2">
      <c r="A157" s="3" t="s">
        <v>352</v>
      </c>
      <c r="B157" s="20" t="s">
        <v>353</v>
      </c>
      <c r="C157" s="11"/>
      <c r="D157" s="3" t="s">
        <v>20</v>
      </c>
      <c r="E157" s="3" t="s">
        <v>153</v>
      </c>
      <c r="F157" s="38">
        <v>2000</v>
      </c>
      <c r="G157" s="38">
        <v>7980</v>
      </c>
      <c r="H157" s="3"/>
      <c r="I157" s="3" t="s">
        <v>354</v>
      </c>
      <c r="J157" s="38">
        <v>250</v>
      </c>
      <c r="K157" s="38">
        <v>943</v>
      </c>
      <c r="L157" s="23" t="s">
        <v>355</v>
      </c>
      <c r="M157" s="11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</row>
    <row r="158" spans="1:239" customHeight="1" ht="13.2">
      <c r="A158" s="3"/>
      <c r="B158" s="20"/>
      <c r="C158" s="11"/>
      <c r="D158" s="3"/>
      <c r="E158" s="3" t="s">
        <v>153</v>
      </c>
      <c r="F158" s="40" t="s">
        <v>43</v>
      </c>
      <c r="G158" s="40" t="s">
        <v>43</v>
      </c>
      <c r="H158" s="3"/>
      <c r="I158" s="3" t="s">
        <v>354</v>
      </c>
      <c r="J158" s="38">
        <v>300</v>
      </c>
      <c r="K158" s="38">
        <v>1228</v>
      </c>
      <c r="L158" s="23" t="s">
        <v>356</v>
      </c>
      <c r="M158" s="11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</row>
    <row r="159" spans="1:239" customHeight="1" ht="13.2">
      <c r="A159" s="3"/>
      <c r="B159" s="20"/>
      <c r="C159" s="11"/>
      <c r="D159" s="3"/>
      <c r="E159" s="3" t="s">
        <v>153</v>
      </c>
      <c r="F159" s="40" t="s">
        <v>43</v>
      </c>
      <c r="G159" s="40" t="s">
        <v>43</v>
      </c>
      <c r="H159" s="3"/>
      <c r="I159" s="3" t="s">
        <v>354</v>
      </c>
      <c r="J159" s="38">
        <v>475</v>
      </c>
      <c r="K159" s="38">
        <v>2007</v>
      </c>
      <c r="L159" s="23" t="s">
        <v>357</v>
      </c>
      <c r="M159" s="11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</row>
    <row r="160" spans="1:239" customHeight="1" ht="13.2">
      <c r="A160" s="3"/>
      <c r="B160" s="20"/>
      <c r="C160" s="11"/>
      <c r="D160" s="3"/>
      <c r="E160" s="3" t="s">
        <v>153</v>
      </c>
      <c r="F160" s="40" t="s">
        <v>43</v>
      </c>
      <c r="G160" s="40" t="s">
        <v>43</v>
      </c>
      <c r="H160" s="3"/>
      <c r="I160" s="3" t="s">
        <v>354</v>
      </c>
      <c r="J160" s="38">
        <v>375</v>
      </c>
      <c r="K160" s="38">
        <v>1490</v>
      </c>
      <c r="L160" s="23" t="s">
        <v>358</v>
      </c>
      <c r="M160" s="11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</row>
    <row r="161" spans="1:239" customHeight="1" ht="13.2">
      <c r="A161" s="20"/>
      <c r="B161" s="20"/>
      <c r="C161" s="11"/>
      <c r="D161" s="3"/>
      <c r="E161" s="3" t="s">
        <v>153</v>
      </c>
      <c r="F161" s="40" t="s">
        <v>43</v>
      </c>
      <c r="G161" s="40" t="s">
        <v>43</v>
      </c>
      <c r="H161" s="3"/>
      <c r="I161" s="3" t="s">
        <v>354</v>
      </c>
      <c r="J161" s="38">
        <v>600</v>
      </c>
      <c r="K161" s="38">
        <v>2397</v>
      </c>
      <c r="L161" s="23" t="s">
        <v>359</v>
      </c>
      <c r="M161" s="11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</row>
    <row r="162" spans="1:239" customHeight="1" ht="13.2" hidden="true">
      <c r="A162" s="11"/>
      <c r="B162" s="20"/>
      <c r="C162" s="11"/>
      <c r="D162" s="3"/>
      <c r="E162" s="3"/>
      <c r="F162" s="38"/>
      <c r="G162" s="38"/>
      <c r="H162" s="3"/>
      <c r="I162" s="3"/>
      <c r="J162" s="38"/>
      <c r="K162" s="38"/>
      <c r="L162" s="23"/>
      <c r="M162" s="11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</row>
    <row r="163" spans="1:239" customHeight="1" ht="13.2">
      <c r="A163" s="3" t="s">
        <v>360</v>
      </c>
      <c r="B163" s="20" t="s">
        <v>361</v>
      </c>
      <c r="C163" s="11"/>
      <c r="D163" s="3" t="s">
        <v>56</v>
      </c>
      <c r="E163" s="3" t="s">
        <v>348</v>
      </c>
      <c r="F163" s="38">
        <v>1229</v>
      </c>
      <c r="G163" s="38">
        <v>4937</v>
      </c>
      <c r="H163" s="3"/>
      <c r="I163" s="3" t="s">
        <v>154</v>
      </c>
      <c r="J163" s="38">
        <v>425</v>
      </c>
      <c r="K163" s="38">
        <v>1480</v>
      </c>
      <c r="L163" s="23" t="s">
        <v>362</v>
      </c>
      <c r="M163" s="11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</row>
    <row r="164" spans="1:239" customHeight="1" ht="13.2">
      <c r="A164" s="3"/>
      <c r="B164" s="20"/>
      <c r="C164" s="11"/>
      <c r="D164" s="3"/>
      <c r="E164" s="3"/>
      <c r="F164" s="40" t="s">
        <v>43</v>
      </c>
      <c r="G164" s="40" t="s">
        <v>43</v>
      </c>
      <c r="H164" s="3"/>
      <c r="I164" s="3" t="s">
        <v>154</v>
      </c>
      <c r="J164" s="38">
        <v>375</v>
      </c>
      <c r="K164" s="38">
        <v>1377</v>
      </c>
      <c r="L164" s="23" t="s">
        <v>224</v>
      </c>
      <c r="M164" s="11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</row>
    <row r="165" spans="1:239" customHeight="1" ht="13.2">
      <c r="A165" s="3"/>
      <c r="B165" s="20"/>
      <c r="C165" s="11"/>
      <c r="D165" s="3"/>
      <c r="E165" s="3"/>
      <c r="F165" s="40" t="s">
        <v>43</v>
      </c>
      <c r="G165" s="40" t="s">
        <v>43</v>
      </c>
      <c r="H165" s="3"/>
      <c r="I165" s="3" t="s">
        <v>154</v>
      </c>
      <c r="J165" s="38">
        <v>450</v>
      </c>
      <c r="K165" s="38">
        <v>1837</v>
      </c>
      <c r="L165" s="23" t="s">
        <v>363</v>
      </c>
      <c r="M165" s="11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</row>
    <row r="166" spans="1:239" customHeight="1" ht="13.2">
      <c r="A166" s="3" t="s">
        <v>364</v>
      </c>
      <c r="B166" s="20" t="s">
        <v>365</v>
      </c>
      <c r="C166" s="11"/>
      <c r="D166" s="3" t="s">
        <v>20</v>
      </c>
      <c r="E166" s="3" t="s">
        <v>348</v>
      </c>
      <c r="F166" s="38">
        <v>1735</v>
      </c>
      <c r="G166" s="38">
        <v>7130</v>
      </c>
      <c r="H166" s="3"/>
      <c r="I166" s="3" t="s">
        <v>154</v>
      </c>
      <c r="J166" s="38">
        <v>500</v>
      </c>
      <c r="K166" s="38">
        <v>2100</v>
      </c>
      <c r="L166" s="36" t="s">
        <v>366</v>
      </c>
      <c r="M166" s="11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</row>
    <row r="167" spans="1:239" customHeight="1" ht="13.2">
      <c r="A167" s="3"/>
      <c r="B167" s="23"/>
      <c r="C167" s="11"/>
      <c r="D167" s="11"/>
      <c r="E167" s="3"/>
      <c r="F167" s="40" t="s">
        <v>43</v>
      </c>
      <c r="G167" s="40" t="s">
        <v>43</v>
      </c>
      <c r="H167" s="3"/>
      <c r="I167" s="3" t="s">
        <v>154</v>
      </c>
      <c r="J167" s="38">
        <v>291</v>
      </c>
      <c r="K167" s="38">
        <v>1159</v>
      </c>
      <c r="L167" s="23" t="s">
        <v>367</v>
      </c>
      <c r="M167" s="11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</row>
    <row r="168" spans="1:239" customHeight="1" ht="13.2">
      <c r="A168" s="3"/>
      <c r="B168" s="23"/>
      <c r="C168" s="11"/>
      <c r="D168" s="11"/>
      <c r="E168" s="3"/>
      <c r="F168" s="40" t="s">
        <v>43</v>
      </c>
      <c r="G168" s="40" t="s">
        <v>43</v>
      </c>
      <c r="H168" s="3"/>
      <c r="I168" s="3" t="s">
        <v>154</v>
      </c>
      <c r="J168" s="38">
        <v>295</v>
      </c>
      <c r="K168" s="38">
        <v>1217</v>
      </c>
      <c r="L168" s="23" t="s">
        <v>342</v>
      </c>
      <c r="M168" s="11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</row>
    <row r="169" spans="1:239" customHeight="1" ht="13.2">
      <c r="A169" s="3"/>
      <c r="B169" s="23"/>
      <c r="C169" s="11"/>
      <c r="D169" s="11"/>
      <c r="E169" s="3"/>
      <c r="F169" s="40" t="s">
        <v>43</v>
      </c>
      <c r="G169" s="40" t="s">
        <v>43</v>
      </c>
      <c r="H169" s="3"/>
      <c r="I169" s="3" t="s">
        <v>154</v>
      </c>
      <c r="J169" s="38">
        <v>450</v>
      </c>
      <c r="K169" s="38">
        <v>1900</v>
      </c>
      <c r="L169" s="23" t="s">
        <v>368</v>
      </c>
      <c r="M169" s="11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</row>
    <row r="170" spans="1:239" customHeight="1" ht="13.2">
      <c r="A170" s="3"/>
      <c r="B170" s="23"/>
      <c r="C170" s="11"/>
      <c r="D170" s="11"/>
      <c r="E170" s="3"/>
      <c r="F170" s="40" t="s">
        <v>43</v>
      </c>
      <c r="G170" s="40" t="s">
        <v>43</v>
      </c>
      <c r="H170" s="3"/>
      <c r="I170" s="3" t="s">
        <v>154</v>
      </c>
      <c r="J170" s="38">
        <v>200</v>
      </c>
      <c r="K170" s="38">
        <v>750</v>
      </c>
      <c r="L170" s="23" t="s">
        <v>369</v>
      </c>
      <c r="M170" s="11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</row>
    <row r="171" spans="1:239" customHeight="1" ht="13.2" hidden="true">
      <c r="A171" s="3"/>
      <c r="B171" s="23"/>
      <c r="C171" s="11"/>
      <c r="D171" s="11"/>
      <c r="E171" s="3"/>
      <c r="F171" s="38"/>
      <c r="G171" s="38"/>
      <c r="H171" s="3"/>
      <c r="I171" s="3" t="s">
        <v>154</v>
      </c>
      <c r="J171" s="38"/>
      <c r="K171" s="38"/>
      <c r="L171" s="23"/>
      <c r="M171" s="11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</row>
    <row r="172" spans="1:239" customHeight="1" ht="13.2">
      <c r="A172" s="3" t="s">
        <v>370</v>
      </c>
      <c r="B172" s="23" t="s">
        <v>371</v>
      </c>
      <c r="C172" s="11"/>
      <c r="D172" s="3" t="s">
        <v>20</v>
      </c>
      <c r="E172" s="3" t="s">
        <v>348</v>
      </c>
      <c r="F172" s="38">
        <v>291</v>
      </c>
      <c r="G172" s="38">
        <v>1092</v>
      </c>
      <c r="H172" s="3"/>
      <c r="I172" s="3" t="s">
        <v>154</v>
      </c>
      <c r="J172" s="38">
        <v>291</v>
      </c>
      <c r="K172" s="38">
        <v>839</v>
      </c>
      <c r="L172" s="23" t="s">
        <v>372</v>
      </c>
      <c r="M172" s="11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</row>
    <row r="173" spans="1:239" customHeight="1" ht="13.2">
      <c r="A173" s="3" t="s">
        <v>373</v>
      </c>
      <c r="B173" s="23" t="s">
        <v>374</v>
      </c>
      <c r="C173" s="11"/>
      <c r="D173" s="3" t="s">
        <v>20</v>
      </c>
      <c r="E173" s="3" t="s">
        <v>268</v>
      </c>
      <c r="F173" s="38">
        <v>600</v>
      </c>
      <c r="G173" s="38">
        <v>2437</v>
      </c>
      <c r="H173" s="3"/>
      <c r="I173" s="3" t="s">
        <v>154</v>
      </c>
      <c r="J173" s="38">
        <v>300</v>
      </c>
      <c r="K173" s="38">
        <v>2437</v>
      </c>
      <c r="L173" s="23" t="s">
        <v>375</v>
      </c>
      <c r="M173" s="11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</row>
    <row r="174" spans="1:239" customHeight="1" ht="13.2">
      <c r="A174" s="3"/>
      <c r="B174" s="23"/>
      <c r="C174" s="11"/>
      <c r="D174" s="3"/>
      <c r="E174" s="3"/>
      <c r="F174" s="38"/>
      <c r="G174" s="38"/>
      <c r="H174" s="3"/>
      <c r="I174" s="3" t="s">
        <v>154</v>
      </c>
      <c r="J174" s="38">
        <v>300</v>
      </c>
      <c r="K174" s="38">
        <v>1124</v>
      </c>
      <c r="L174" s="23" t="s">
        <v>345</v>
      </c>
      <c r="M174" s="11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</row>
    <row r="175" spans="1:239" customHeight="1" ht="13.2">
      <c r="A175" s="3"/>
      <c r="B175" s="23"/>
      <c r="C175" s="11"/>
      <c r="D175" s="3"/>
      <c r="E175" s="3"/>
      <c r="F175" s="39">
        <f>SUM(F137:F174)</f>
        <v>14505</v>
      </c>
      <c r="G175" s="39">
        <f>SUM(G137:G174)</f>
        <v>60269</v>
      </c>
      <c r="H175" s="77"/>
      <c r="I175" s="77"/>
      <c r="J175" s="39">
        <f>SUM(J137:J174)</f>
        <v>14527</v>
      </c>
      <c r="K175" s="39">
        <f>SUM(K137:K174)</f>
        <v>60605</v>
      </c>
      <c r="L175" s="3"/>
      <c r="M175" s="11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</row>
    <row r="176" spans="1:239" customHeight="1" ht="13.2">
      <c r="A176" s="52"/>
      <c r="B176" s="55"/>
      <c r="C176" s="7"/>
      <c r="D176" s="52"/>
      <c r="E176" s="52"/>
      <c r="F176" s="52"/>
      <c r="G176" s="52"/>
      <c r="H176" s="52"/>
      <c r="I176" s="52"/>
      <c r="J176" s="53"/>
      <c r="K176" s="53"/>
      <c r="L176" s="52"/>
      <c r="M176" s="7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</row>
    <row r="177" spans="1:239" customHeight="1" ht="13.2">
      <c r="A177" s="9"/>
      <c r="B177" s="4"/>
      <c r="C177" s="5"/>
      <c r="D177" s="9"/>
      <c r="E177" s="9"/>
      <c r="F177" s="9"/>
      <c r="G177" s="9"/>
      <c r="H177" s="9"/>
      <c r="I177" s="9"/>
      <c r="J177" s="46"/>
      <c r="K177" s="46"/>
      <c r="L177" s="9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</row>
    <row r="178" spans="1:239" customHeight="1" ht="13.2">
      <c r="A178" s="9"/>
      <c r="B178" s="4"/>
      <c r="C178" s="5"/>
      <c r="D178" s="9"/>
      <c r="E178" s="9"/>
      <c r="F178" s="9"/>
      <c r="G178" s="9"/>
      <c r="H178" s="9"/>
      <c r="I178" s="9"/>
      <c r="J178" s="46"/>
      <c r="K178" s="46"/>
      <c r="L178" s="9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</row>
    <row r="179" spans="1:239" customHeight="1" ht="13.2">
      <c r="A179" s="9"/>
      <c r="B179" s="4"/>
      <c r="C179" s="5"/>
      <c r="D179" s="9"/>
      <c r="E179" s="9"/>
      <c r="F179" s="9"/>
      <c r="G179" s="9"/>
      <c r="H179" s="9"/>
      <c r="I179" s="9"/>
      <c r="J179" s="46"/>
      <c r="K179" s="46"/>
      <c r="L179" s="9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</row>
    <row r="180" spans="1:239" customHeight="1" ht="13.8">
      <c r="A180" s="58"/>
      <c r="B180" s="61"/>
      <c r="C180" s="57"/>
      <c r="D180" s="58"/>
      <c r="E180" s="58"/>
      <c r="F180" s="58"/>
      <c r="G180" s="58"/>
      <c r="H180" s="58"/>
      <c r="I180" s="58"/>
      <c r="J180" s="59"/>
      <c r="K180" s="59"/>
      <c r="L180" s="58"/>
      <c r="M180" s="84" t="s">
        <v>376</v>
      </c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</row>
    <row r="181" spans="1:239" customHeight="1" ht="13.8">
      <c r="A181" s="97" t="s">
        <v>3</v>
      </c>
      <c r="B181" s="100" t="s">
        <v>4</v>
      </c>
      <c r="C181" s="100"/>
      <c r="D181" s="8" t="s">
        <v>5</v>
      </c>
      <c r="E181" s="97" t="s">
        <v>6</v>
      </c>
      <c r="F181" s="97"/>
      <c r="G181" s="97"/>
      <c r="H181" s="50"/>
      <c r="I181" s="97" t="s">
        <v>7</v>
      </c>
      <c r="J181" s="97"/>
      <c r="K181" s="97"/>
      <c r="L181" s="8" t="s">
        <v>8</v>
      </c>
      <c r="M181" s="97" t="s">
        <v>9</v>
      </c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/>
      <c r="HK181" s="5"/>
      <c r="HL181" s="5"/>
      <c r="HM181" s="5"/>
      <c r="HN181" s="5"/>
      <c r="HO181" s="5"/>
      <c r="HP181" s="5"/>
      <c r="HQ181" s="5"/>
      <c r="HR181" s="5"/>
      <c r="HS181" s="5"/>
      <c r="HT181" s="5"/>
      <c r="HU181" s="5"/>
      <c r="HV181" s="5"/>
      <c r="HW181" s="5"/>
      <c r="HX181" s="5"/>
      <c r="HY181" s="5"/>
      <c r="HZ181" s="5"/>
      <c r="IA181" s="5"/>
      <c r="IB181" s="5"/>
      <c r="IC181" s="5"/>
      <c r="ID181" s="5"/>
    </row>
    <row r="182" spans="1:239" customHeight="1" ht="13.2">
      <c r="A182" s="99"/>
      <c r="B182" s="97" t="s">
        <v>10</v>
      </c>
      <c r="C182" s="97"/>
      <c r="D182" s="14" t="s">
        <v>11</v>
      </c>
      <c r="E182" s="15" t="s">
        <v>12</v>
      </c>
      <c r="F182" s="15" t="s">
        <v>13</v>
      </c>
      <c r="G182" s="15" t="s">
        <v>14</v>
      </c>
      <c r="H182" s="15" t="s">
        <v>12</v>
      </c>
      <c r="I182" s="15" t="s">
        <v>12</v>
      </c>
      <c r="J182" s="15" t="s">
        <v>13</v>
      </c>
      <c r="K182" s="15" t="s">
        <v>14</v>
      </c>
      <c r="L182" s="14" t="s">
        <v>15</v>
      </c>
      <c r="M182" s="99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5"/>
      <c r="HG182" s="5"/>
      <c r="HH182" s="5"/>
      <c r="HI182" s="5"/>
      <c r="HJ182" s="5"/>
      <c r="HK182" s="5"/>
      <c r="HL182" s="5"/>
      <c r="HM182" s="5"/>
      <c r="HN182" s="5"/>
      <c r="HO182" s="5"/>
      <c r="HP182" s="5"/>
      <c r="HQ182" s="5"/>
      <c r="HR182" s="5"/>
      <c r="HS182" s="5"/>
      <c r="HT182" s="5"/>
      <c r="HU182" s="5"/>
      <c r="HV182" s="5"/>
      <c r="HW182" s="5"/>
      <c r="HX182" s="5"/>
      <c r="HY182" s="5"/>
      <c r="HZ182" s="5"/>
      <c r="IA182" s="5"/>
      <c r="IB182" s="5"/>
      <c r="IC182" s="5"/>
      <c r="ID182" s="5"/>
    </row>
    <row r="183" spans="1:239" customHeight="1" ht="13.2">
      <c r="A183" s="63">
        <v>1</v>
      </c>
      <c r="B183" s="95">
        <v>2</v>
      </c>
      <c r="C183" s="96"/>
      <c r="D183" s="85">
        <v>3</v>
      </c>
      <c r="E183" s="85">
        <v>4</v>
      </c>
      <c r="F183" s="85">
        <v>5</v>
      </c>
      <c r="G183" s="86">
        <v>6</v>
      </c>
      <c r="H183" s="87">
        <v>7</v>
      </c>
      <c r="I183" s="85">
        <v>7</v>
      </c>
      <c r="J183" s="86">
        <v>8</v>
      </c>
      <c r="K183" s="88">
        <v>9</v>
      </c>
      <c r="L183" s="85">
        <v>10</v>
      </c>
      <c r="M183" s="85">
        <v>11</v>
      </c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5"/>
      <c r="HG183" s="5"/>
      <c r="HH183" s="5"/>
      <c r="HI183" s="5"/>
      <c r="HJ183" s="5"/>
      <c r="HK183" s="5"/>
      <c r="HL183" s="5"/>
      <c r="HM183" s="5"/>
      <c r="HN183" s="5"/>
      <c r="HO183" s="5"/>
      <c r="HP183" s="5"/>
      <c r="HQ183" s="5"/>
      <c r="HR183" s="5"/>
      <c r="HS183" s="5"/>
      <c r="HT183" s="5"/>
      <c r="HU183" s="5"/>
      <c r="HV183" s="5"/>
      <c r="HW183" s="5"/>
      <c r="HX183" s="5"/>
      <c r="HY183" s="5"/>
      <c r="HZ183" s="5"/>
      <c r="IA183" s="5"/>
      <c r="IB183" s="5"/>
      <c r="IC183" s="5"/>
      <c r="ID183" s="5"/>
    </row>
    <row r="184" spans="1:239" customHeight="1" ht="13.2">
      <c r="A184" s="15"/>
      <c r="B184" s="15"/>
      <c r="C184" s="15"/>
      <c r="D184" s="15"/>
      <c r="E184" s="15"/>
      <c r="F184" s="39"/>
      <c r="G184" s="39"/>
      <c r="H184" s="15"/>
      <c r="I184" s="15"/>
      <c r="J184" s="39"/>
      <c r="K184" s="39"/>
      <c r="L184" s="15"/>
      <c r="M184" s="1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  <c r="GV184" s="5"/>
      <c r="GW184" s="5"/>
      <c r="GX184" s="5"/>
      <c r="GY184" s="5"/>
      <c r="GZ184" s="5"/>
      <c r="HA184" s="5"/>
      <c r="HB184" s="5"/>
      <c r="HC184" s="5"/>
      <c r="HD184" s="5"/>
      <c r="HE184" s="5"/>
      <c r="HF184" s="5"/>
      <c r="HG184" s="5"/>
      <c r="HH184" s="5"/>
      <c r="HI184" s="5"/>
      <c r="HJ184" s="5"/>
      <c r="HK184" s="5"/>
      <c r="HL184" s="5"/>
      <c r="HM184" s="5"/>
      <c r="HN184" s="5"/>
      <c r="HO184" s="5"/>
      <c r="HP184" s="5"/>
      <c r="HQ184" s="5"/>
      <c r="HR184" s="5"/>
      <c r="HS184" s="5"/>
      <c r="HT184" s="5"/>
      <c r="HU184" s="5"/>
      <c r="HV184" s="5"/>
      <c r="HW184" s="5"/>
      <c r="HX184" s="5"/>
      <c r="HY184" s="5"/>
      <c r="HZ184" s="5"/>
      <c r="IA184" s="5"/>
      <c r="IB184" s="5"/>
      <c r="IC184" s="5"/>
      <c r="ID184" s="5"/>
    </row>
    <row r="185" spans="1:239" customHeight="1" ht="13.2">
      <c r="A185" s="3" t="s">
        <v>377</v>
      </c>
      <c r="B185" s="23" t="s">
        <v>378</v>
      </c>
      <c r="C185" s="11"/>
      <c r="D185" s="3" t="s">
        <v>20</v>
      </c>
      <c r="E185" s="3" t="s">
        <v>268</v>
      </c>
      <c r="F185" s="38">
        <v>1579</v>
      </c>
      <c r="G185" s="38">
        <v>6194</v>
      </c>
      <c r="H185" s="3"/>
      <c r="I185" s="3" t="s">
        <v>154</v>
      </c>
      <c r="J185" s="38">
        <v>473</v>
      </c>
      <c r="K185" s="38">
        <v>1900</v>
      </c>
      <c r="L185" s="23" t="s">
        <v>379</v>
      </c>
      <c r="M185" s="11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  <c r="HM185" s="5"/>
      <c r="HN185" s="5"/>
      <c r="HO185" s="5"/>
      <c r="HP185" s="5"/>
      <c r="HQ185" s="5"/>
      <c r="HR185" s="5"/>
      <c r="HS185" s="5"/>
      <c r="HT185" s="5"/>
      <c r="HU185" s="5"/>
      <c r="HV185" s="5"/>
      <c r="HW185" s="5"/>
      <c r="HX185" s="5"/>
      <c r="HY185" s="5"/>
      <c r="HZ185" s="5"/>
      <c r="IA185" s="5"/>
      <c r="IB185" s="5"/>
      <c r="IC185" s="5"/>
      <c r="ID185" s="5"/>
    </row>
    <row r="186" spans="1:239" customHeight="1" ht="13.2">
      <c r="A186" s="3"/>
      <c r="B186" s="23"/>
      <c r="C186" s="11"/>
      <c r="D186" s="3"/>
      <c r="E186" s="3"/>
      <c r="F186" s="38"/>
      <c r="G186" s="38"/>
      <c r="H186" s="3"/>
      <c r="I186" s="3" t="s">
        <v>154</v>
      </c>
      <c r="J186" s="38">
        <v>318</v>
      </c>
      <c r="K186" s="38">
        <v>1810</v>
      </c>
      <c r="L186" s="23" t="s">
        <v>380</v>
      </c>
      <c r="M186" s="11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5"/>
      <c r="HG186" s="5"/>
      <c r="HH186" s="5"/>
      <c r="HI186" s="5"/>
      <c r="HJ186" s="5"/>
      <c r="HK186" s="5"/>
      <c r="HL186" s="5"/>
      <c r="HM186" s="5"/>
      <c r="HN186" s="5"/>
      <c r="HO186" s="5"/>
      <c r="HP186" s="5"/>
      <c r="HQ186" s="5"/>
      <c r="HR186" s="5"/>
      <c r="HS186" s="5"/>
      <c r="HT186" s="5"/>
      <c r="HU186" s="5"/>
      <c r="HV186" s="5"/>
      <c r="HW186" s="5"/>
      <c r="HX186" s="5"/>
      <c r="HY186" s="5"/>
      <c r="HZ186" s="5"/>
      <c r="IA186" s="5"/>
      <c r="IB186" s="5"/>
      <c r="IC186" s="5"/>
      <c r="ID186" s="5"/>
    </row>
    <row r="187" spans="1:239" customHeight="1" ht="13.2">
      <c r="A187" s="3"/>
      <c r="B187" s="23"/>
      <c r="C187" s="11"/>
      <c r="D187" s="3"/>
      <c r="E187" s="3"/>
      <c r="F187" s="38"/>
      <c r="G187" s="38"/>
      <c r="H187" s="3"/>
      <c r="I187" s="3" t="s">
        <v>154</v>
      </c>
      <c r="J187" s="38">
        <v>313</v>
      </c>
      <c r="K187" s="38">
        <v>1211</v>
      </c>
      <c r="L187" s="23" t="s">
        <v>381</v>
      </c>
      <c r="M187" s="11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  <c r="HJ187" s="5"/>
      <c r="HK187" s="5"/>
      <c r="HL187" s="5"/>
      <c r="HM187" s="5"/>
      <c r="HN187" s="5"/>
      <c r="HO187" s="5"/>
      <c r="HP187" s="5"/>
      <c r="HQ187" s="5"/>
      <c r="HR187" s="5"/>
      <c r="HS187" s="5"/>
      <c r="HT187" s="5"/>
      <c r="HU187" s="5"/>
      <c r="HV187" s="5"/>
      <c r="HW187" s="5"/>
      <c r="HX187" s="5"/>
      <c r="HY187" s="5"/>
      <c r="HZ187" s="5"/>
      <c r="IA187" s="5"/>
      <c r="IB187" s="5"/>
      <c r="IC187" s="5"/>
      <c r="ID187" s="5"/>
    </row>
    <row r="188" spans="1:239" customHeight="1" ht="13.2">
      <c r="A188" s="3"/>
      <c r="B188" s="23"/>
      <c r="C188" s="11"/>
      <c r="D188" s="3"/>
      <c r="E188" s="3"/>
      <c r="F188" s="38"/>
      <c r="G188" s="38"/>
      <c r="H188" s="3"/>
      <c r="I188" s="3"/>
      <c r="J188" s="38">
        <v>475</v>
      </c>
      <c r="K188" s="38">
        <v>1665</v>
      </c>
      <c r="L188" s="23"/>
      <c r="M188" s="11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  <c r="HJ188" s="5"/>
      <c r="HK188" s="5"/>
      <c r="HL188" s="5"/>
      <c r="HM188" s="5"/>
      <c r="HN188" s="5"/>
      <c r="HO188" s="5"/>
      <c r="HP188" s="5"/>
      <c r="HQ188" s="5"/>
      <c r="HR188" s="5"/>
      <c r="HS188" s="5"/>
      <c r="HT188" s="5"/>
      <c r="HU188" s="5"/>
      <c r="HV188" s="5"/>
      <c r="HW188" s="5"/>
      <c r="HX188" s="5"/>
      <c r="HY188" s="5"/>
      <c r="HZ188" s="5"/>
      <c r="IA188" s="5"/>
      <c r="IB188" s="5"/>
      <c r="IC188" s="5"/>
      <c r="ID188" s="5"/>
    </row>
    <row r="189" spans="1:239" customHeight="1" ht="13.2">
      <c r="A189" s="3" t="s">
        <v>382</v>
      </c>
      <c r="B189" s="23" t="s">
        <v>383</v>
      </c>
      <c r="C189" s="11"/>
      <c r="D189" s="3" t="s">
        <v>20</v>
      </c>
      <c r="E189" s="3" t="s">
        <v>268</v>
      </c>
      <c r="F189" s="38">
        <v>1056</v>
      </c>
      <c r="G189" s="38">
        <v>4660</v>
      </c>
      <c r="H189" s="3"/>
      <c r="I189" s="3" t="s">
        <v>154</v>
      </c>
      <c r="J189" s="38">
        <v>491</v>
      </c>
      <c r="K189" s="38">
        <v>2018</v>
      </c>
      <c r="L189" s="23" t="s">
        <v>384</v>
      </c>
      <c r="M189" s="11" t="s">
        <v>385</v>
      </c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  <c r="HJ189" s="5"/>
      <c r="HK189" s="5"/>
      <c r="HL189" s="5"/>
      <c r="HM189" s="5"/>
      <c r="HN189" s="5"/>
      <c r="HO189" s="5"/>
      <c r="HP189" s="5"/>
      <c r="HQ189" s="5"/>
      <c r="HR189" s="5"/>
      <c r="HS189" s="5"/>
      <c r="HT189" s="5"/>
      <c r="HU189" s="5"/>
      <c r="HV189" s="5"/>
      <c r="HW189" s="5"/>
      <c r="HX189" s="5"/>
      <c r="HY189" s="5"/>
      <c r="HZ189" s="5"/>
      <c r="IA189" s="5"/>
      <c r="IB189" s="5"/>
      <c r="IC189" s="5"/>
      <c r="ID189" s="5"/>
    </row>
    <row r="190" spans="1:239" customHeight="1" ht="13.2">
      <c r="A190" s="3"/>
      <c r="B190" s="23"/>
      <c r="C190" s="11"/>
      <c r="D190" s="3"/>
      <c r="E190" s="3"/>
      <c r="F190" s="38"/>
      <c r="G190" s="38"/>
      <c r="H190" s="3"/>
      <c r="I190" s="3" t="s">
        <v>154</v>
      </c>
      <c r="J190" s="38">
        <v>510</v>
      </c>
      <c r="K190" s="38">
        <v>1812</v>
      </c>
      <c r="L190" s="23" t="s">
        <v>386</v>
      </c>
      <c r="M190" s="11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/>
      <c r="HK190" s="5"/>
      <c r="HL190" s="5"/>
      <c r="HM190" s="5"/>
      <c r="HN190" s="5"/>
      <c r="HO190" s="5"/>
      <c r="HP190" s="5"/>
      <c r="HQ190" s="5"/>
      <c r="HR190" s="5"/>
      <c r="HS190" s="5"/>
      <c r="HT190" s="5"/>
      <c r="HU190" s="5"/>
      <c r="HV190" s="5"/>
      <c r="HW190" s="5"/>
      <c r="HX190" s="5"/>
      <c r="HY190" s="5"/>
      <c r="HZ190" s="5"/>
      <c r="IA190" s="5"/>
      <c r="IB190" s="5"/>
      <c r="IC190" s="5"/>
      <c r="ID190" s="5"/>
    </row>
    <row r="191" spans="1:239" customHeight="1" ht="13.2">
      <c r="A191" s="3"/>
      <c r="B191" s="23"/>
      <c r="C191" s="11"/>
      <c r="D191" s="3"/>
      <c r="E191" s="3"/>
      <c r="F191" s="38"/>
      <c r="G191" s="38"/>
      <c r="H191" s="3"/>
      <c r="I191" s="3"/>
      <c r="J191" s="38">
        <v>55</v>
      </c>
      <c r="K191" s="38">
        <v>192</v>
      </c>
      <c r="L191" s="23"/>
      <c r="M191" s="11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/>
      <c r="HI191" s="5"/>
      <c r="HJ191" s="5"/>
      <c r="HK191" s="5"/>
      <c r="HL191" s="5"/>
      <c r="HM191" s="5"/>
      <c r="HN191" s="5"/>
      <c r="HO191" s="5"/>
      <c r="HP191" s="5"/>
      <c r="HQ191" s="5"/>
      <c r="HR191" s="5"/>
      <c r="HS191" s="5"/>
      <c r="HT191" s="5"/>
      <c r="HU191" s="5"/>
      <c r="HV191" s="5"/>
      <c r="HW191" s="5"/>
      <c r="HX191" s="5"/>
      <c r="HY191" s="5"/>
      <c r="HZ191" s="5"/>
      <c r="IA191" s="5"/>
      <c r="IB191" s="5"/>
      <c r="IC191" s="5"/>
      <c r="ID191" s="5"/>
    </row>
    <row r="192" spans="1:239" customHeight="1" ht="13.2">
      <c r="A192" s="3" t="s">
        <v>387</v>
      </c>
      <c r="B192" s="23" t="s">
        <v>388</v>
      </c>
      <c r="C192" s="11"/>
      <c r="D192" s="3" t="s">
        <v>20</v>
      </c>
      <c r="E192" s="3" t="s">
        <v>102</v>
      </c>
      <c r="F192" s="38">
        <v>1000</v>
      </c>
      <c r="G192" s="38">
        <v>3046</v>
      </c>
      <c r="H192" s="3"/>
      <c r="I192" s="3" t="s">
        <v>162</v>
      </c>
      <c r="J192" s="38">
        <v>1000</v>
      </c>
      <c r="K192" s="38">
        <v>3046</v>
      </c>
      <c r="L192" s="23" t="s">
        <v>389</v>
      </c>
      <c r="M192" s="11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  <c r="HJ192" s="5"/>
      <c r="HK192" s="5"/>
      <c r="HL192" s="5"/>
      <c r="HM192" s="5"/>
      <c r="HN192" s="5"/>
      <c r="HO192" s="5"/>
      <c r="HP192" s="5"/>
      <c r="HQ192" s="5"/>
      <c r="HR192" s="5"/>
      <c r="HS192" s="5"/>
      <c r="HT192" s="5"/>
      <c r="HU192" s="5"/>
      <c r="HV192" s="5"/>
      <c r="HW192" s="5"/>
      <c r="HX192" s="5"/>
      <c r="HY192" s="5"/>
      <c r="HZ192" s="5"/>
      <c r="IA192" s="5"/>
      <c r="IB192" s="5"/>
      <c r="IC192" s="5"/>
      <c r="ID192" s="5"/>
    </row>
    <row r="193" spans="1:239" customHeight="1" ht="13.2">
      <c r="A193" s="3" t="s">
        <v>390</v>
      </c>
      <c r="B193" s="23" t="s">
        <v>391</v>
      </c>
      <c r="C193" s="11"/>
      <c r="D193" s="3" t="s">
        <v>20</v>
      </c>
      <c r="E193" s="3" t="s">
        <v>168</v>
      </c>
      <c r="F193" s="38">
        <v>100</v>
      </c>
      <c r="G193" s="38">
        <v>338</v>
      </c>
      <c r="H193" s="3"/>
      <c r="I193" s="3" t="s">
        <v>392</v>
      </c>
      <c r="J193" s="38">
        <v>104</v>
      </c>
      <c r="K193" s="38">
        <v>373</v>
      </c>
      <c r="L193" s="23" t="s">
        <v>393</v>
      </c>
      <c r="M193" s="11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  <c r="HJ193" s="5"/>
      <c r="HK193" s="5"/>
      <c r="HL193" s="5"/>
      <c r="HM193" s="5"/>
      <c r="HN193" s="5"/>
      <c r="HO193" s="5"/>
      <c r="HP193" s="5"/>
      <c r="HQ193" s="5"/>
      <c r="HR193" s="5"/>
      <c r="HS193" s="5"/>
      <c r="HT193" s="5"/>
      <c r="HU193" s="5"/>
      <c r="HV193" s="5"/>
      <c r="HW193" s="5"/>
      <c r="HX193" s="5"/>
      <c r="HY193" s="5"/>
      <c r="HZ193" s="5"/>
      <c r="IA193" s="5"/>
      <c r="IB193" s="5"/>
      <c r="IC193" s="5"/>
      <c r="ID193" s="5"/>
    </row>
    <row r="194" spans="1:239" customHeight="1" ht="13.2">
      <c r="A194" s="3" t="s">
        <v>394</v>
      </c>
      <c r="B194" s="23" t="s">
        <v>395</v>
      </c>
      <c r="C194" s="11"/>
      <c r="D194" s="3" t="s">
        <v>20</v>
      </c>
      <c r="E194" s="3" t="s">
        <v>268</v>
      </c>
      <c r="F194" s="38">
        <v>418</v>
      </c>
      <c r="G194" s="38">
        <v>1387</v>
      </c>
      <c r="H194" s="3"/>
      <c r="I194" s="3" t="s">
        <v>392</v>
      </c>
      <c r="J194" s="38">
        <v>418</v>
      </c>
      <c r="K194" s="38">
        <v>1387</v>
      </c>
      <c r="L194" s="23" t="s">
        <v>396</v>
      </c>
      <c r="M194" s="11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  <c r="HJ194" s="5"/>
      <c r="HK194" s="5"/>
      <c r="HL194" s="5"/>
      <c r="HM194" s="5"/>
      <c r="HN194" s="5"/>
      <c r="HO194" s="5"/>
      <c r="HP194" s="5"/>
      <c r="HQ194" s="5"/>
      <c r="HR194" s="5"/>
      <c r="HS194" s="5"/>
      <c r="HT194" s="5"/>
      <c r="HU194" s="5"/>
      <c r="HV194" s="5"/>
      <c r="HW194" s="5"/>
      <c r="HX194" s="5"/>
      <c r="HY194" s="5"/>
      <c r="HZ194" s="5"/>
      <c r="IA194" s="5"/>
      <c r="IB194" s="5"/>
      <c r="IC194" s="5"/>
      <c r="ID194" s="5"/>
    </row>
    <row r="195" spans="1:239" customHeight="1" ht="13.2">
      <c r="A195" s="3" t="s">
        <v>397</v>
      </c>
      <c r="B195" s="23" t="s">
        <v>398</v>
      </c>
      <c r="C195" s="11"/>
      <c r="D195" s="3" t="s">
        <v>399</v>
      </c>
      <c r="E195" s="3" t="s">
        <v>168</v>
      </c>
      <c r="F195" s="38">
        <v>526</v>
      </c>
      <c r="G195" s="38">
        <v>2228</v>
      </c>
      <c r="H195" s="3"/>
      <c r="I195" s="3" t="s">
        <v>179</v>
      </c>
      <c r="J195" s="38">
        <v>526</v>
      </c>
      <c r="K195" s="38">
        <v>2228</v>
      </c>
      <c r="L195" s="23" t="s">
        <v>400</v>
      </c>
      <c r="M195" s="11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5"/>
      <c r="HG195" s="5"/>
      <c r="HH195" s="5"/>
      <c r="HI195" s="5"/>
      <c r="HJ195" s="5"/>
      <c r="HK195" s="5"/>
      <c r="HL195" s="5"/>
      <c r="HM195" s="5"/>
      <c r="HN195" s="5"/>
      <c r="HO195" s="5"/>
      <c r="HP195" s="5"/>
      <c r="HQ195" s="5"/>
      <c r="HR195" s="5"/>
      <c r="HS195" s="5"/>
      <c r="HT195" s="5"/>
      <c r="HU195" s="5"/>
      <c r="HV195" s="5"/>
      <c r="HW195" s="5"/>
      <c r="HX195" s="5"/>
      <c r="HY195" s="5"/>
      <c r="HZ195" s="5"/>
      <c r="IA195" s="5"/>
      <c r="IB195" s="5"/>
      <c r="IC195" s="5"/>
      <c r="ID195" s="5"/>
    </row>
    <row r="196" spans="1:239" customHeight="1" ht="13.2">
      <c r="A196" s="3" t="s">
        <v>401</v>
      </c>
      <c r="B196" s="23" t="s">
        <v>402</v>
      </c>
      <c r="C196" s="11"/>
      <c r="D196" s="3" t="s">
        <v>20</v>
      </c>
      <c r="E196" s="22" t="s">
        <v>43</v>
      </c>
      <c r="F196" s="38">
        <v>438</v>
      </c>
      <c r="G196" s="43">
        <v>1533</v>
      </c>
      <c r="H196" s="3"/>
      <c r="I196" s="3" t="s">
        <v>188</v>
      </c>
      <c r="J196" s="38">
        <v>438</v>
      </c>
      <c r="K196" s="38">
        <v>1775</v>
      </c>
      <c r="L196" s="23" t="s">
        <v>403</v>
      </c>
      <c r="M196" s="11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  <c r="HJ196" s="5"/>
      <c r="HK196" s="5"/>
      <c r="HL196" s="5"/>
      <c r="HM196" s="5"/>
      <c r="HN196" s="5"/>
      <c r="HO196" s="5"/>
      <c r="HP196" s="5"/>
      <c r="HQ196" s="5"/>
      <c r="HR196" s="5"/>
      <c r="HS196" s="5"/>
      <c r="HT196" s="5"/>
      <c r="HU196" s="5"/>
      <c r="HV196" s="5"/>
      <c r="HW196" s="5"/>
      <c r="HX196" s="5"/>
      <c r="HY196" s="5"/>
      <c r="HZ196" s="5"/>
      <c r="IA196" s="5"/>
      <c r="IB196" s="5"/>
      <c r="IC196" s="5"/>
      <c r="ID196" s="5"/>
    </row>
    <row r="197" spans="1:239" customHeight="1" ht="13.2">
      <c r="A197" s="3" t="s">
        <v>404</v>
      </c>
      <c r="B197" s="23" t="s">
        <v>405</v>
      </c>
      <c r="C197" s="11"/>
      <c r="D197" s="3" t="s">
        <v>20</v>
      </c>
      <c r="E197" s="3" t="s">
        <v>195</v>
      </c>
      <c r="F197" s="38">
        <v>300</v>
      </c>
      <c r="G197" s="38">
        <v>1405</v>
      </c>
      <c r="H197" s="3"/>
      <c r="I197" s="3" t="s">
        <v>196</v>
      </c>
      <c r="J197" s="38">
        <v>313</v>
      </c>
      <c r="K197" s="38">
        <v>1466</v>
      </c>
      <c r="L197" s="23" t="s">
        <v>405</v>
      </c>
      <c r="M197" s="11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5"/>
      <c r="HG197" s="5"/>
      <c r="HH197" s="5"/>
      <c r="HI197" s="5"/>
      <c r="HJ197" s="5"/>
      <c r="HK197" s="5"/>
      <c r="HL197" s="5"/>
      <c r="HM197" s="5"/>
      <c r="HN197" s="5"/>
      <c r="HO197" s="5"/>
      <c r="HP197" s="5"/>
      <c r="HQ197" s="5"/>
      <c r="HR197" s="5"/>
      <c r="HS197" s="5"/>
      <c r="HT197" s="5"/>
      <c r="HU197" s="5"/>
      <c r="HV197" s="5"/>
      <c r="HW197" s="5"/>
      <c r="HX197" s="5"/>
      <c r="HY197" s="5"/>
      <c r="HZ197" s="5"/>
      <c r="IA197" s="5"/>
      <c r="IB197" s="5"/>
      <c r="IC197" s="5"/>
      <c r="ID197" s="5"/>
    </row>
    <row r="198" spans="1:239" customHeight="1" ht="13.2">
      <c r="A198" s="3" t="s">
        <v>406</v>
      </c>
      <c r="B198" s="23" t="s">
        <v>407</v>
      </c>
      <c r="C198" s="11"/>
      <c r="D198" s="3" t="s">
        <v>408</v>
      </c>
      <c r="E198" s="22" t="s">
        <v>43</v>
      </c>
      <c r="F198" s="38">
        <v>274</v>
      </c>
      <c r="G198" s="43">
        <v>959</v>
      </c>
      <c r="H198" s="3"/>
      <c r="I198" s="3" t="s">
        <v>196</v>
      </c>
      <c r="J198" s="38">
        <v>274</v>
      </c>
      <c r="K198" s="38">
        <v>1050</v>
      </c>
      <c r="L198" s="23" t="s">
        <v>381</v>
      </c>
      <c r="M198" s="11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5"/>
      <c r="HG198" s="5"/>
      <c r="HH198" s="5"/>
      <c r="HI198" s="5"/>
      <c r="HJ198" s="5"/>
      <c r="HK198" s="5"/>
      <c r="HL198" s="5"/>
      <c r="HM198" s="5"/>
      <c r="HN198" s="5"/>
      <c r="HO198" s="5"/>
      <c r="HP198" s="5"/>
      <c r="HQ198" s="5"/>
      <c r="HR198" s="5"/>
      <c r="HS198" s="5"/>
      <c r="HT198" s="5"/>
      <c r="HU198" s="5"/>
      <c r="HV198" s="5"/>
      <c r="HW198" s="5"/>
      <c r="HX198" s="5"/>
      <c r="HY198" s="5"/>
      <c r="HZ198" s="5"/>
      <c r="IA198" s="5"/>
      <c r="IB198" s="5"/>
      <c r="IC198" s="5"/>
      <c r="ID198" s="5"/>
    </row>
    <row r="199" spans="1:239" customHeight="1" ht="13.2">
      <c r="A199" s="3" t="s">
        <v>409</v>
      </c>
      <c r="B199" s="23" t="s">
        <v>410</v>
      </c>
      <c r="C199" s="11"/>
      <c r="D199" s="3" t="s">
        <v>20</v>
      </c>
      <c r="E199" s="3" t="s">
        <v>202</v>
      </c>
      <c r="F199" s="38">
        <v>290</v>
      </c>
      <c r="G199" s="38">
        <v>1060</v>
      </c>
      <c r="H199" s="3"/>
      <c r="I199" s="22" t="s">
        <v>43</v>
      </c>
      <c r="J199" s="38">
        <v>293</v>
      </c>
      <c r="K199" s="38">
        <v>1144</v>
      </c>
      <c r="L199" s="23" t="s">
        <v>411</v>
      </c>
      <c r="M199" s="11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5"/>
      <c r="HD199" s="5"/>
      <c r="HE199" s="5"/>
      <c r="HF199" s="5"/>
      <c r="HG199" s="5"/>
      <c r="HH199" s="5"/>
      <c r="HI199" s="5"/>
      <c r="HJ199" s="5"/>
      <c r="HK199" s="5"/>
      <c r="HL199" s="5"/>
      <c r="HM199" s="5"/>
      <c r="HN199" s="5"/>
      <c r="HO199" s="5"/>
      <c r="HP199" s="5"/>
      <c r="HQ199" s="5"/>
      <c r="HR199" s="5"/>
      <c r="HS199" s="5"/>
      <c r="HT199" s="5"/>
      <c r="HU199" s="5"/>
      <c r="HV199" s="5"/>
      <c r="HW199" s="5"/>
      <c r="HX199" s="5"/>
      <c r="HY199" s="5"/>
      <c r="HZ199" s="5"/>
      <c r="IA199" s="5"/>
      <c r="IB199" s="5"/>
      <c r="IC199" s="5"/>
      <c r="ID199" s="5"/>
    </row>
    <row r="200" spans="1:239" customHeight="1" ht="13.2">
      <c r="A200" s="3" t="s">
        <v>412</v>
      </c>
      <c r="B200" s="23" t="s">
        <v>413</v>
      </c>
      <c r="C200" s="11"/>
      <c r="D200" s="3" t="s">
        <v>399</v>
      </c>
      <c r="E200" s="3" t="s">
        <v>62</v>
      </c>
      <c r="F200" s="38">
        <v>378</v>
      </c>
      <c r="G200" s="38">
        <v>1368</v>
      </c>
      <c r="H200" s="3"/>
      <c r="I200" s="3" t="s">
        <v>208</v>
      </c>
      <c r="J200" s="38">
        <v>378</v>
      </c>
      <c r="K200" s="38">
        <v>1368</v>
      </c>
      <c r="L200" s="23" t="s">
        <v>328</v>
      </c>
      <c r="M200" s="11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  <c r="HJ200" s="5"/>
      <c r="HK200" s="5"/>
      <c r="HL200" s="5"/>
      <c r="HM200" s="5"/>
      <c r="HN200" s="5"/>
      <c r="HO200" s="5"/>
      <c r="HP200" s="5"/>
      <c r="HQ200" s="5"/>
      <c r="HR200" s="5"/>
      <c r="HS200" s="5"/>
      <c r="HT200" s="5"/>
      <c r="HU200" s="5"/>
      <c r="HV200" s="5"/>
      <c r="HW200" s="5"/>
      <c r="HX200" s="5"/>
      <c r="HY200" s="5"/>
      <c r="HZ200" s="5"/>
      <c r="IA200" s="5"/>
      <c r="IB200" s="5"/>
      <c r="IC200" s="5"/>
      <c r="ID200" s="5"/>
    </row>
    <row r="201" spans="1:239" customHeight="1" ht="13.2">
      <c r="A201" s="3" t="s">
        <v>414</v>
      </c>
      <c r="B201" s="23" t="s">
        <v>415</v>
      </c>
      <c r="C201" s="11"/>
      <c r="D201" s="3" t="s">
        <v>20</v>
      </c>
      <c r="E201" s="3" t="s">
        <v>416</v>
      </c>
      <c r="F201" s="38">
        <v>300</v>
      </c>
      <c r="G201" s="38">
        <v>1086</v>
      </c>
      <c r="H201" s="3"/>
      <c r="I201" s="3" t="s">
        <v>208</v>
      </c>
      <c r="J201" s="38">
        <v>300</v>
      </c>
      <c r="K201" s="38">
        <v>1131</v>
      </c>
      <c r="L201" s="23" t="s">
        <v>417</v>
      </c>
      <c r="M201" s="11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  <c r="GZ201" s="5"/>
      <c r="HA201" s="5"/>
      <c r="HB201" s="5"/>
      <c r="HC201" s="5"/>
      <c r="HD201" s="5"/>
      <c r="HE201" s="5"/>
      <c r="HF201" s="5"/>
      <c r="HG201" s="5"/>
      <c r="HH201" s="5"/>
      <c r="HI201" s="5"/>
      <c r="HJ201" s="5"/>
      <c r="HK201" s="5"/>
      <c r="HL201" s="5"/>
      <c r="HM201" s="5"/>
      <c r="HN201" s="5"/>
      <c r="HO201" s="5"/>
      <c r="HP201" s="5"/>
      <c r="HQ201" s="5"/>
      <c r="HR201" s="5"/>
      <c r="HS201" s="5"/>
      <c r="HT201" s="5"/>
      <c r="HU201" s="5"/>
      <c r="HV201" s="5"/>
      <c r="HW201" s="5"/>
      <c r="HX201" s="5"/>
      <c r="HY201" s="5"/>
      <c r="HZ201" s="5"/>
      <c r="IA201" s="5"/>
      <c r="IB201" s="5"/>
      <c r="IC201" s="5"/>
      <c r="ID201" s="5"/>
    </row>
    <row r="202" spans="1:239" customHeight="1" ht="13.2">
      <c r="A202" s="3" t="s">
        <v>418</v>
      </c>
      <c r="B202" s="23" t="s">
        <v>419</v>
      </c>
      <c r="C202" s="11"/>
      <c r="D202" s="3" t="s">
        <v>20</v>
      </c>
      <c r="E202" s="3" t="s">
        <v>420</v>
      </c>
      <c r="F202" s="38">
        <v>300</v>
      </c>
      <c r="G202" s="38">
        <v>1115</v>
      </c>
      <c r="H202" s="3"/>
      <c r="I202" s="3">
        <v>1997</v>
      </c>
      <c r="J202" s="38">
        <v>300</v>
      </c>
      <c r="K202" s="38">
        <v>1115</v>
      </c>
      <c r="L202" s="23" t="s">
        <v>421</v>
      </c>
      <c r="M202" s="11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  <c r="HJ202" s="5"/>
      <c r="HK202" s="5"/>
      <c r="HL202" s="5"/>
      <c r="HM202" s="5"/>
      <c r="HN202" s="5"/>
      <c r="HO202" s="5"/>
      <c r="HP202" s="5"/>
      <c r="HQ202" s="5"/>
      <c r="HR202" s="5"/>
      <c r="HS202" s="5"/>
      <c r="HT202" s="5"/>
      <c r="HU202" s="5"/>
      <c r="HV202" s="5"/>
      <c r="HW202" s="5"/>
      <c r="HX202" s="5"/>
      <c r="HY202" s="5"/>
      <c r="HZ202" s="5"/>
      <c r="IA202" s="5"/>
      <c r="IB202" s="5"/>
      <c r="IC202" s="5"/>
      <c r="ID202" s="5"/>
    </row>
    <row r="203" spans="1:239" customHeight="1" ht="13.2">
      <c r="A203" s="3" t="s">
        <v>422</v>
      </c>
      <c r="B203" s="23" t="s">
        <v>423</v>
      </c>
      <c r="C203" s="11"/>
      <c r="D203" s="3" t="s">
        <v>20</v>
      </c>
      <c r="E203" s="3" t="s">
        <v>420</v>
      </c>
      <c r="F203" s="38">
        <v>233</v>
      </c>
      <c r="G203" s="38">
        <v>873</v>
      </c>
      <c r="H203" s="3"/>
      <c r="I203" s="3">
        <v>1997</v>
      </c>
      <c r="J203" s="38">
        <v>233</v>
      </c>
      <c r="K203" s="38">
        <v>873</v>
      </c>
      <c r="L203" s="23" t="s">
        <v>424</v>
      </c>
      <c r="M203" s="11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  <c r="GV203" s="5"/>
      <c r="GW203" s="5"/>
      <c r="GX203" s="5"/>
      <c r="GY203" s="5"/>
      <c r="GZ203" s="5"/>
      <c r="HA203" s="5"/>
      <c r="HB203" s="5"/>
      <c r="HC203" s="5"/>
      <c r="HD203" s="5"/>
      <c r="HE203" s="5"/>
      <c r="HF203" s="5"/>
      <c r="HG203" s="5"/>
      <c r="HH203" s="5"/>
      <c r="HI203" s="5"/>
      <c r="HJ203" s="5"/>
      <c r="HK203" s="5"/>
      <c r="HL203" s="5"/>
      <c r="HM203" s="5"/>
      <c r="HN203" s="5"/>
      <c r="HO203" s="5"/>
      <c r="HP203" s="5"/>
      <c r="HQ203" s="5"/>
      <c r="HR203" s="5"/>
      <c r="HS203" s="5"/>
      <c r="HT203" s="5"/>
      <c r="HU203" s="5"/>
      <c r="HV203" s="5"/>
      <c r="HW203" s="5"/>
      <c r="HX203" s="5"/>
      <c r="HY203" s="5"/>
      <c r="HZ203" s="5"/>
      <c r="IA203" s="5"/>
      <c r="IB203" s="5"/>
      <c r="IC203" s="5"/>
      <c r="ID203" s="5"/>
    </row>
    <row r="204" spans="1:239" customHeight="1" ht="13.2">
      <c r="A204" s="3" t="s">
        <v>425</v>
      </c>
      <c r="B204" s="23" t="s">
        <v>426</v>
      </c>
      <c r="C204" s="11"/>
      <c r="D204" s="3" t="s">
        <v>399</v>
      </c>
      <c r="E204" s="3" t="s">
        <v>42</v>
      </c>
      <c r="F204" s="38">
        <v>300</v>
      </c>
      <c r="G204" s="38">
        <v>1099</v>
      </c>
      <c r="H204" s="3"/>
      <c r="I204" s="3" t="s">
        <v>211</v>
      </c>
      <c r="J204" s="38">
        <v>300</v>
      </c>
      <c r="K204" s="38">
        <v>1140</v>
      </c>
      <c r="L204" s="23" t="s">
        <v>427</v>
      </c>
      <c r="M204" s="11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5"/>
      <c r="GT204" s="5"/>
      <c r="GU204" s="5"/>
      <c r="GV204" s="5"/>
      <c r="GW204" s="5"/>
      <c r="GX204" s="5"/>
      <c r="GY204" s="5"/>
      <c r="GZ204" s="5"/>
      <c r="HA204" s="5"/>
      <c r="HB204" s="5"/>
      <c r="HC204" s="5"/>
      <c r="HD204" s="5"/>
      <c r="HE204" s="5"/>
      <c r="HF204" s="5"/>
      <c r="HG204" s="5"/>
      <c r="HH204" s="5"/>
      <c r="HI204" s="5"/>
      <c r="HJ204" s="5"/>
      <c r="HK204" s="5"/>
      <c r="HL204" s="5"/>
      <c r="HM204" s="5"/>
      <c r="HN204" s="5"/>
      <c r="HO204" s="5"/>
      <c r="HP204" s="5"/>
      <c r="HQ204" s="5"/>
      <c r="HR204" s="5"/>
      <c r="HS204" s="5"/>
      <c r="HT204" s="5"/>
      <c r="HU204" s="5"/>
      <c r="HV204" s="5"/>
      <c r="HW204" s="5"/>
      <c r="HX204" s="5"/>
      <c r="HY204" s="5"/>
      <c r="HZ204" s="5"/>
      <c r="IA204" s="5"/>
      <c r="IB204" s="5"/>
      <c r="IC204" s="5"/>
      <c r="ID204" s="5"/>
    </row>
    <row r="205" spans="1:239" customHeight="1" ht="13.2">
      <c r="A205" s="3" t="s">
        <v>428</v>
      </c>
      <c r="B205" s="23" t="s">
        <v>429</v>
      </c>
      <c r="C205" s="11"/>
      <c r="D205" s="3" t="s">
        <v>20</v>
      </c>
      <c r="E205" s="3" t="s">
        <v>47</v>
      </c>
      <c r="F205" s="38">
        <v>460</v>
      </c>
      <c r="G205" s="38">
        <v>1644</v>
      </c>
      <c r="H205" s="3"/>
      <c r="I205" s="3" t="s">
        <v>211</v>
      </c>
      <c r="J205" s="38">
        <v>460</v>
      </c>
      <c r="K205" s="38">
        <v>1644</v>
      </c>
      <c r="L205" s="23" t="s">
        <v>430</v>
      </c>
      <c r="M205" s="11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  <c r="GQ205" s="5"/>
      <c r="GR205" s="5"/>
      <c r="GS205" s="5"/>
      <c r="GT205" s="5"/>
      <c r="GU205" s="5"/>
      <c r="GV205" s="5"/>
      <c r="GW205" s="5"/>
      <c r="GX205" s="5"/>
      <c r="GY205" s="5"/>
      <c r="GZ205" s="5"/>
      <c r="HA205" s="5"/>
      <c r="HB205" s="5"/>
      <c r="HC205" s="5"/>
      <c r="HD205" s="5"/>
      <c r="HE205" s="5"/>
      <c r="HF205" s="5"/>
      <c r="HG205" s="5"/>
      <c r="HH205" s="5"/>
      <c r="HI205" s="5"/>
      <c r="HJ205" s="5"/>
      <c r="HK205" s="5"/>
      <c r="HL205" s="5"/>
      <c r="HM205" s="5"/>
      <c r="HN205" s="5"/>
      <c r="HO205" s="5"/>
      <c r="HP205" s="5"/>
      <c r="HQ205" s="5"/>
      <c r="HR205" s="5"/>
      <c r="HS205" s="5"/>
      <c r="HT205" s="5"/>
      <c r="HU205" s="5"/>
      <c r="HV205" s="5"/>
      <c r="HW205" s="5"/>
      <c r="HX205" s="5"/>
      <c r="HY205" s="5"/>
      <c r="HZ205" s="5"/>
      <c r="IA205" s="5"/>
      <c r="IB205" s="5"/>
      <c r="IC205" s="5"/>
      <c r="ID205" s="5"/>
    </row>
    <row r="206" spans="1:239" customHeight="1" ht="13.2">
      <c r="A206" s="3" t="s">
        <v>431</v>
      </c>
      <c r="B206" s="23" t="s">
        <v>432</v>
      </c>
      <c r="C206" s="11"/>
      <c r="D206" s="3" t="s">
        <v>20</v>
      </c>
      <c r="E206" s="3" t="s">
        <v>50</v>
      </c>
      <c r="F206" s="38">
        <v>225</v>
      </c>
      <c r="G206" s="38">
        <v>847</v>
      </c>
      <c r="H206" s="3"/>
      <c r="I206" s="3" t="s">
        <v>211</v>
      </c>
      <c r="J206" s="38">
        <v>225</v>
      </c>
      <c r="K206" s="38">
        <v>890</v>
      </c>
      <c r="L206" s="23" t="s">
        <v>433</v>
      </c>
      <c r="M206" s="11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  <c r="GQ206" s="5"/>
      <c r="GR206" s="5"/>
      <c r="GS206" s="5"/>
      <c r="GT206" s="5"/>
      <c r="GU206" s="5"/>
      <c r="GV206" s="5"/>
      <c r="GW206" s="5"/>
      <c r="GX206" s="5"/>
      <c r="GY206" s="5"/>
      <c r="GZ206" s="5"/>
      <c r="HA206" s="5"/>
      <c r="HB206" s="5"/>
      <c r="HC206" s="5"/>
      <c r="HD206" s="5"/>
      <c r="HE206" s="5"/>
      <c r="HF206" s="5"/>
      <c r="HG206" s="5"/>
      <c r="HH206" s="5"/>
      <c r="HI206" s="5"/>
      <c r="HJ206" s="5"/>
      <c r="HK206" s="5"/>
      <c r="HL206" s="5"/>
      <c r="HM206" s="5"/>
      <c r="HN206" s="5"/>
      <c r="HO206" s="5"/>
      <c r="HP206" s="5"/>
      <c r="HQ206" s="5"/>
      <c r="HR206" s="5"/>
      <c r="HS206" s="5"/>
      <c r="HT206" s="5"/>
      <c r="HU206" s="5"/>
      <c r="HV206" s="5"/>
      <c r="HW206" s="5"/>
      <c r="HX206" s="5"/>
      <c r="HY206" s="5"/>
      <c r="HZ206" s="5"/>
      <c r="IA206" s="5"/>
      <c r="IB206" s="5"/>
      <c r="IC206" s="5"/>
      <c r="ID206" s="5"/>
    </row>
    <row r="207" spans="1:239" customHeight="1" ht="13.2">
      <c r="A207" s="3" t="s">
        <v>434</v>
      </c>
      <c r="B207" s="23" t="s">
        <v>435</v>
      </c>
      <c r="C207" s="11"/>
      <c r="D207" s="3" t="s">
        <v>20</v>
      </c>
      <c r="E207" s="3" t="s">
        <v>47</v>
      </c>
      <c r="F207" s="38">
        <v>300</v>
      </c>
      <c r="G207" s="38">
        <v>1111</v>
      </c>
      <c r="H207" s="3"/>
      <c r="I207" s="3" t="s">
        <v>154</v>
      </c>
      <c r="J207" s="38">
        <v>304</v>
      </c>
      <c r="K207" s="38">
        <v>1165</v>
      </c>
      <c r="L207" s="23" t="s">
        <v>436</v>
      </c>
      <c r="M207" s="11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  <c r="GC207" s="5"/>
      <c r="GD207" s="5"/>
      <c r="GE207" s="5"/>
      <c r="GF207" s="5"/>
      <c r="GG207" s="5"/>
      <c r="GH207" s="5"/>
      <c r="GI207" s="5"/>
      <c r="GJ207" s="5"/>
      <c r="GK207" s="5"/>
      <c r="GL207" s="5"/>
      <c r="GM207" s="5"/>
      <c r="GN207" s="5"/>
      <c r="GO207" s="5"/>
      <c r="GP207" s="5"/>
      <c r="GQ207" s="5"/>
      <c r="GR207" s="5"/>
      <c r="GS207" s="5"/>
      <c r="GT207" s="5"/>
      <c r="GU207" s="5"/>
      <c r="GV207" s="5"/>
      <c r="GW207" s="5"/>
      <c r="GX207" s="5"/>
      <c r="GY207" s="5"/>
      <c r="GZ207" s="5"/>
      <c r="HA207" s="5"/>
      <c r="HB207" s="5"/>
      <c r="HC207" s="5"/>
      <c r="HD207" s="5"/>
      <c r="HE207" s="5"/>
      <c r="HF207" s="5"/>
      <c r="HG207" s="5"/>
      <c r="HH207" s="5"/>
      <c r="HI207" s="5"/>
      <c r="HJ207" s="5"/>
      <c r="HK207" s="5"/>
      <c r="HL207" s="5"/>
      <c r="HM207" s="5"/>
      <c r="HN207" s="5"/>
      <c r="HO207" s="5"/>
      <c r="HP207" s="5"/>
      <c r="HQ207" s="5"/>
      <c r="HR207" s="5"/>
      <c r="HS207" s="5"/>
      <c r="HT207" s="5"/>
      <c r="HU207" s="5"/>
      <c r="HV207" s="5"/>
      <c r="HW207" s="5"/>
      <c r="HX207" s="5"/>
      <c r="HY207" s="5"/>
      <c r="HZ207" s="5"/>
      <c r="IA207" s="5"/>
      <c r="IB207" s="5"/>
      <c r="IC207" s="5"/>
      <c r="ID207" s="5"/>
    </row>
    <row r="208" spans="1:239" customHeight="1" ht="13.2">
      <c r="A208" s="3" t="s">
        <v>437</v>
      </c>
      <c r="B208" s="23" t="s">
        <v>438</v>
      </c>
      <c r="C208" s="11"/>
      <c r="D208" s="3" t="s">
        <v>20</v>
      </c>
      <c r="E208" s="3" t="s">
        <v>50</v>
      </c>
      <c r="F208" s="38">
        <v>300</v>
      </c>
      <c r="G208" s="38">
        <v>998</v>
      </c>
      <c r="H208" s="3"/>
      <c r="I208" s="3" t="s">
        <v>439</v>
      </c>
      <c r="J208" s="38">
        <v>301</v>
      </c>
      <c r="K208" s="38">
        <v>1027</v>
      </c>
      <c r="L208" s="23" t="s">
        <v>440</v>
      </c>
      <c r="M208" s="11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5"/>
      <c r="EK208" s="5"/>
      <c r="EL208" s="5"/>
      <c r="EM208" s="5"/>
      <c r="EN208" s="5"/>
      <c r="EO208" s="5"/>
      <c r="EP208" s="5"/>
      <c r="EQ208" s="5"/>
      <c r="ER208" s="5"/>
      <c r="ES208" s="5"/>
      <c r="ET208" s="5"/>
      <c r="EU208" s="5"/>
      <c r="EV208" s="5"/>
      <c r="EW208" s="5"/>
      <c r="EX208" s="5"/>
      <c r="EY208" s="5"/>
      <c r="EZ208" s="5"/>
      <c r="FA208" s="5"/>
      <c r="FB208" s="5"/>
      <c r="FC208" s="5"/>
      <c r="FD208" s="5"/>
      <c r="FE208" s="5"/>
      <c r="FF208" s="5"/>
      <c r="FG208" s="5"/>
      <c r="FH208" s="5"/>
      <c r="FI208" s="5"/>
      <c r="FJ208" s="5"/>
      <c r="FK208" s="5"/>
      <c r="FL208" s="5"/>
      <c r="FM208" s="5"/>
      <c r="FN208" s="5"/>
      <c r="FO208" s="5"/>
      <c r="FP208" s="5"/>
      <c r="FQ208" s="5"/>
      <c r="FR208" s="5"/>
      <c r="FS208" s="5"/>
      <c r="FT208" s="5"/>
      <c r="FU208" s="5"/>
      <c r="FV208" s="5"/>
      <c r="FW208" s="5"/>
      <c r="FX208" s="5"/>
      <c r="FY208" s="5"/>
      <c r="FZ208" s="5"/>
      <c r="GA208" s="5"/>
      <c r="GB208" s="5"/>
      <c r="GC208" s="5"/>
      <c r="GD208" s="5"/>
      <c r="GE208" s="5"/>
      <c r="GF208" s="5"/>
      <c r="GG208" s="5"/>
      <c r="GH208" s="5"/>
      <c r="GI208" s="5"/>
      <c r="GJ208" s="5"/>
      <c r="GK208" s="5"/>
      <c r="GL208" s="5"/>
      <c r="GM208" s="5"/>
      <c r="GN208" s="5"/>
      <c r="GO208" s="5"/>
      <c r="GP208" s="5"/>
      <c r="GQ208" s="5"/>
      <c r="GR208" s="5"/>
      <c r="GS208" s="5"/>
      <c r="GT208" s="5"/>
      <c r="GU208" s="5"/>
      <c r="GV208" s="5"/>
      <c r="GW208" s="5"/>
      <c r="GX208" s="5"/>
      <c r="GY208" s="5"/>
      <c r="GZ208" s="5"/>
      <c r="HA208" s="5"/>
      <c r="HB208" s="5"/>
      <c r="HC208" s="5"/>
      <c r="HD208" s="5"/>
      <c r="HE208" s="5"/>
      <c r="HF208" s="5"/>
      <c r="HG208" s="5"/>
      <c r="HH208" s="5"/>
      <c r="HI208" s="5"/>
      <c r="HJ208" s="5"/>
      <c r="HK208" s="5"/>
      <c r="HL208" s="5"/>
      <c r="HM208" s="5"/>
      <c r="HN208" s="5"/>
      <c r="HO208" s="5"/>
      <c r="HP208" s="5"/>
      <c r="HQ208" s="5"/>
      <c r="HR208" s="5"/>
      <c r="HS208" s="5"/>
      <c r="HT208" s="5"/>
      <c r="HU208" s="5"/>
      <c r="HV208" s="5"/>
      <c r="HW208" s="5"/>
      <c r="HX208" s="5"/>
      <c r="HY208" s="5"/>
      <c r="HZ208" s="5"/>
      <c r="IA208" s="5"/>
      <c r="IB208" s="5"/>
      <c r="IC208" s="5"/>
      <c r="ID208" s="5"/>
    </row>
    <row r="209" spans="1:239" customHeight="1" ht="13.2">
      <c r="A209" s="3" t="s">
        <v>441</v>
      </c>
      <c r="B209" s="23" t="s">
        <v>442</v>
      </c>
      <c r="C209" s="11"/>
      <c r="D209" s="3" t="s">
        <v>20</v>
      </c>
      <c r="E209" s="3" t="s">
        <v>225</v>
      </c>
      <c r="F209" s="38">
        <v>300</v>
      </c>
      <c r="G209" s="38">
        <v>1095</v>
      </c>
      <c r="H209" s="3"/>
      <c r="I209" s="3" t="s">
        <v>443</v>
      </c>
      <c r="J209" s="38">
        <v>300</v>
      </c>
      <c r="K209" s="38">
        <v>1184</v>
      </c>
      <c r="L209" s="23" t="s">
        <v>444</v>
      </c>
      <c r="M209" s="11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  <c r="EG209" s="5"/>
      <c r="EH209" s="5"/>
      <c r="EI209" s="5"/>
      <c r="EJ209" s="5"/>
      <c r="EK209" s="5"/>
      <c r="EL209" s="5"/>
      <c r="EM209" s="5"/>
      <c r="EN209" s="5"/>
      <c r="EO209" s="5"/>
      <c r="EP209" s="5"/>
      <c r="EQ209" s="5"/>
      <c r="ER209" s="5"/>
      <c r="ES209" s="5"/>
      <c r="ET209" s="5"/>
      <c r="EU209" s="5"/>
      <c r="EV209" s="5"/>
      <c r="EW209" s="5"/>
      <c r="EX209" s="5"/>
      <c r="EY209" s="5"/>
      <c r="EZ209" s="5"/>
      <c r="FA209" s="5"/>
      <c r="FB209" s="5"/>
      <c r="FC209" s="5"/>
      <c r="FD209" s="5"/>
      <c r="FE209" s="5"/>
      <c r="FF209" s="5"/>
      <c r="FG209" s="5"/>
      <c r="FH209" s="5"/>
      <c r="FI209" s="5"/>
      <c r="FJ209" s="5"/>
      <c r="FK209" s="5"/>
      <c r="FL209" s="5"/>
      <c r="FM209" s="5"/>
      <c r="FN209" s="5"/>
      <c r="FO209" s="5"/>
      <c r="FP209" s="5"/>
      <c r="FQ209" s="5"/>
      <c r="FR209" s="5"/>
      <c r="FS209" s="5"/>
      <c r="FT209" s="5"/>
      <c r="FU209" s="5"/>
      <c r="FV209" s="5"/>
      <c r="FW209" s="5"/>
      <c r="FX209" s="5"/>
      <c r="FY209" s="5"/>
      <c r="FZ209" s="5"/>
      <c r="GA209" s="5"/>
      <c r="GB209" s="5"/>
      <c r="GC209" s="5"/>
      <c r="GD209" s="5"/>
      <c r="GE209" s="5"/>
      <c r="GF209" s="5"/>
      <c r="GG209" s="5"/>
      <c r="GH209" s="5"/>
      <c r="GI209" s="5"/>
      <c r="GJ209" s="5"/>
      <c r="GK209" s="5"/>
      <c r="GL209" s="5"/>
      <c r="GM209" s="5"/>
      <c r="GN209" s="5"/>
      <c r="GO209" s="5"/>
      <c r="GP209" s="5"/>
      <c r="GQ209" s="5"/>
      <c r="GR209" s="5"/>
      <c r="GS209" s="5"/>
      <c r="GT209" s="5"/>
      <c r="GU209" s="5"/>
      <c r="GV209" s="5"/>
      <c r="GW209" s="5"/>
      <c r="GX209" s="5"/>
      <c r="GY209" s="5"/>
      <c r="GZ209" s="5"/>
      <c r="HA209" s="5"/>
      <c r="HB209" s="5"/>
      <c r="HC209" s="5"/>
      <c r="HD209" s="5"/>
      <c r="HE209" s="5"/>
      <c r="HF209" s="5"/>
      <c r="HG209" s="5"/>
      <c r="HH209" s="5"/>
      <c r="HI209" s="5"/>
      <c r="HJ209" s="5"/>
      <c r="HK209" s="5"/>
      <c r="HL209" s="5"/>
      <c r="HM209" s="5"/>
      <c r="HN209" s="5"/>
      <c r="HO209" s="5"/>
      <c r="HP209" s="5"/>
      <c r="HQ209" s="5"/>
      <c r="HR209" s="5"/>
      <c r="HS209" s="5"/>
      <c r="HT209" s="5"/>
      <c r="HU209" s="5"/>
      <c r="HV209" s="5"/>
      <c r="HW209" s="5"/>
      <c r="HX209" s="5"/>
      <c r="HY209" s="5"/>
      <c r="HZ209" s="5"/>
      <c r="IA209" s="5"/>
      <c r="IB209" s="5"/>
      <c r="IC209" s="5"/>
      <c r="ID209" s="5"/>
    </row>
    <row r="210" spans="1:239" customHeight="1" ht="13.2">
      <c r="A210" s="3" t="s">
        <v>445</v>
      </c>
      <c r="B210" s="23" t="s">
        <v>446</v>
      </c>
      <c r="C210" s="11"/>
      <c r="D210" s="3" t="s">
        <v>20</v>
      </c>
      <c r="E210" s="3" t="s">
        <v>225</v>
      </c>
      <c r="F210" s="38">
        <v>250</v>
      </c>
      <c r="G210" s="38">
        <v>898</v>
      </c>
      <c r="H210" s="3"/>
      <c r="I210" s="3" t="s">
        <v>443</v>
      </c>
      <c r="J210" s="38">
        <v>250</v>
      </c>
      <c r="K210" s="38">
        <v>910</v>
      </c>
      <c r="L210" s="23" t="s">
        <v>447</v>
      </c>
      <c r="M210" s="11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5"/>
      <c r="EK210" s="5"/>
      <c r="EL210" s="5"/>
      <c r="EM210" s="5"/>
      <c r="EN210" s="5"/>
      <c r="EO210" s="5"/>
      <c r="EP210" s="5"/>
      <c r="EQ210" s="5"/>
      <c r="ER210" s="5"/>
      <c r="ES210" s="5"/>
      <c r="ET210" s="5"/>
      <c r="EU210" s="5"/>
      <c r="EV210" s="5"/>
      <c r="EW210" s="5"/>
      <c r="EX210" s="5"/>
      <c r="EY210" s="5"/>
      <c r="EZ210" s="5"/>
      <c r="FA210" s="5"/>
      <c r="FB210" s="5"/>
      <c r="FC210" s="5"/>
      <c r="FD210" s="5"/>
      <c r="FE210" s="5"/>
      <c r="FF210" s="5"/>
      <c r="FG210" s="5"/>
      <c r="FH210" s="5"/>
      <c r="FI210" s="5"/>
      <c r="FJ210" s="5"/>
      <c r="FK210" s="5"/>
      <c r="FL210" s="5"/>
      <c r="FM210" s="5"/>
      <c r="FN210" s="5"/>
      <c r="FO210" s="5"/>
      <c r="FP210" s="5"/>
      <c r="FQ210" s="5"/>
      <c r="FR210" s="5"/>
      <c r="FS210" s="5"/>
      <c r="FT210" s="5"/>
      <c r="FU210" s="5"/>
      <c r="FV210" s="5"/>
      <c r="FW210" s="5"/>
      <c r="FX210" s="5"/>
      <c r="FY210" s="5"/>
      <c r="FZ210" s="5"/>
      <c r="GA210" s="5"/>
      <c r="GB210" s="5"/>
      <c r="GC210" s="5"/>
      <c r="GD210" s="5"/>
      <c r="GE210" s="5"/>
      <c r="GF210" s="5"/>
      <c r="GG210" s="5"/>
      <c r="GH210" s="5"/>
      <c r="GI210" s="5"/>
      <c r="GJ210" s="5"/>
      <c r="GK210" s="5"/>
      <c r="GL210" s="5"/>
      <c r="GM210" s="5"/>
      <c r="GN210" s="5"/>
      <c r="GO210" s="5"/>
      <c r="GP210" s="5"/>
      <c r="GQ210" s="5"/>
      <c r="GR210" s="5"/>
      <c r="GS210" s="5"/>
      <c r="GT210" s="5"/>
      <c r="GU210" s="5"/>
      <c r="GV210" s="5"/>
      <c r="GW210" s="5"/>
      <c r="GX210" s="5"/>
      <c r="GY210" s="5"/>
      <c r="GZ210" s="5"/>
      <c r="HA210" s="5"/>
      <c r="HB210" s="5"/>
      <c r="HC210" s="5"/>
      <c r="HD210" s="5"/>
      <c r="HE210" s="5"/>
      <c r="HF210" s="5"/>
      <c r="HG210" s="5"/>
      <c r="HH210" s="5"/>
      <c r="HI210" s="5"/>
      <c r="HJ210" s="5"/>
      <c r="HK210" s="5"/>
      <c r="HL210" s="5"/>
      <c r="HM210" s="5"/>
      <c r="HN210" s="5"/>
      <c r="HO210" s="5"/>
      <c r="HP210" s="5"/>
      <c r="HQ210" s="5"/>
      <c r="HR210" s="5"/>
      <c r="HS210" s="5"/>
      <c r="HT210" s="5"/>
      <c r="HU210" s="5"/>
      <c r="HV210" s="5"/>
      <c r="HW210" s="5"/>
      <c r="HX210" s="5"/>
      <c r="HY210" s="5"/>
      <c r="HZ210" s="5"/>
      <c r="IA210" s="5"/>
      <c r="IB210" s="5"/>
      <c r="IC210" s="5"/>
      <c r="ID210" s="5"/>
    </row>
    <row r="211" spans="1:239" customHeight="1" ht="13.2">
      <c r="A211" s="3" t="s">
        <v>448</v>
      </c>
      <c r="B211" s="23" t="s">
        <v>449</v>
      </c>
      <c r="C211" s="11"/>
      <c r="D211" s="3" t="s">
        <v>20</v>
      </c>
      <c r="E211" s="3" t="s">
        <v>225</v>
      </c>
      <c r="F211" s="38">
        <v>300</v>
      </c>
      <c r="G211" s="38">
        <v>1005</v>
      </c>
      <c r="H211" s="3"/>
      <c r="I211" s="3">
        <v>2002</v>
      </c>
      <c r="J211" s="38">
        <v>300</v>
      </c>
      <c r="K211" s="38">
        <v>1070</v>
      </c>
      <c r="L211" s="37" t="s">
        <v>43</v>
      </c>
      <c r="M211" s="11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  <c r="EZ211" s="5"/>
      <c r="FA211" s="5"/>
      <c r="FB211" s="5"/>
      <c r="FC211" s="5"/>
      <c r="FD211" s="5"/>
      <c r="FE211" s="5"/>
      <c r="FF211" s="5"/>
      <c r="FG211" s="5"/>
      <c r="FH211" s="5"/>
      <c r="FI211" s="5"/>
      <c r="FJ211" s="5"/>
      <c r="FK211" s="5"/>
      <c r="FL211" s="5"/>
      <c r="FM211" s="5"/>
      <c r="FN211" s="5"/>
      <c r="FO211" s="5"/>
      <c r="FP211" s="5"/>
      <c r="FQ211" s="5"/>
      <c r="FR211" s="5"/>
      <c r="FS211" s="5"/>
      <c r="FT211" s="5"/>
      <c r="FU211" s="5"/>
      <c r="FV211" s="5"/>
      <c r="FW211" s="5"/>
      <c r="FX211" s="5"/>
      <c r="FY211" s="5"/>
      <c r="FZ211" s="5"/>
      <c r="GA211" s="5"/>
      <c r="GB211" s="5"/>
      <c r="GC211" s="5"/>
      <c r="GD211" s="5"/>
      <c r="GE211" s="5"/>
      <c r="GF211" s="5"/>
      <c r="GG211" s="5"/>
      <c r="GH211" s="5"/>
      <c r="GI211" s="5"/>
      <c r="GJ211" s="5"/>
      <c r="GK211" s="5"/>
      <c r="GL211" s="5"/>
      <c r="GM211" s="5"/>
      <c r="GN211" s="5"/>
      <c r="GO211" s="5"/>
      <c r="GP211" s="5"/>
      <c r="GQ211" s="5"/>
      <c r="GR211" s="5"/>
      <c r="GS211" s="5"/>
      <c r="GT211" s="5"/>
      <c r="GU211" s="5"/>
      <c r="GV211" s="5"/>
      <c r="GW211" s="5"/>
      <c r="GX211" s="5"/>
      <c r="GY211" s="5"/>
      <c r="GZ211" s="5"/>
      <c r="HA211" s="5"/>
      <c r="HB211" s="5"/>
      <c r="HC211" s="5"/>
      <c r="HD211" s="5"/>
      <c r="HE211" s="5"/>
      <c r="HF211" s="5"/>
      <c r="HG211" s="5"/>
      <c r="HH211" s="5"/>
      <c r="HI211" s="5"/>
      <c r="HJ211" s="5"/>
      <c r="HK211" s="5"/>
      <c r="HL211" s="5"/>
      <c r="HM211" s="5"/>
      <c r="HN211" s="5"/>
      <c r="HO211" s="5"/>
      <c r="HP211" s="5"/>
      <c r="HQ211" s="5"/>
      <c r="HR211" s="5"/>
      <c r="HS211" s="5"/>
      <c r="HT211" s="5"/>
      <c r="HU211" s="5"/>
      <c r="HV211" s="5"/>
      <c r="HW211" s="5"/>
      <c r="HX211" s="5"/>
      <c r="HY211" s="5"/>
      <c r="HZ211" s="5"/>
      <c r="IA211" s="5"/>
      <c r="IB211" s="5"/>
      <c r="IC211" s="5"/>
      <c r="ID211" s="5"/>
    </row>
    <row r="212" spans="1:239" customHeight="1" ht="13.2">
      <c r="A212" s="3" t="s">
        <v>450</v>
      </c>
      <c r="B212" s="23" t="s">
        <v>451</v>
      </c>
      <c r="C212" s="11"/>
      <c r="D212" s="3" t="s">
        <v>38</v>
      </c>
      <c r="E212" s="3" t="s">
        <v>225</v>
      </c>
      <c r="F212" s="38">
        <v>470</v>
      </c>
      <c r="G212" s="38">
        <v>1640</v>
      </c>
      <c r="H212" s="3"/>
      <c r="I212" s="3">
        <v>2002</v>
      </c>
      <c r="J212" s="38">
        <v>470</v>
      </c>
      <c r="K212" s="38">
        <v>1764</v>
      </c>
      <c r="L212" s="23" t="s">
        <v>452</v>
      </c>
      <c r="M212" s="11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5"/>
      <c r="EL212" s="5"/>
      <c r="EM212" s="5"/>
      <c r="EN212" s="5"/>
      <c r="EO212" s="5"/>
      <c r="EP212" s="5"/>
      <c r="EQ212" s="5"/>
      <c r="ER212" s="5"/>
      <c r="ES212" s="5"/>
      <c r="ET212" s="5"/>
      <c r="EU212" s="5"/>
      <c r="EV212" s="5"/>
      <c r="EW212" s="5"/>
      <c r="EX212" s="5"/>
      <c r="EY212" s="5"/>
      <c r="EZ212" s="5"/>
      <c r="FA212" s="5"/>
      <c r="FB212" s="5"/>
      <c r="FC212" s="5"/>
      <c r="FD212" s="5"/>
      <c r="FE212" s="5"/>
      <c r="FF212" s="5"/>
      <c r="FG212" s="5"/>
      <c r="FH212" s="5"/>
      <c r="FI212" s="5"/>
      <c r="FJ212" s="5"/>
      <c r="FK212" s="5"/>
      <c r="FL212" s="5"/>
      <c r="FM212" s="5"/>
      <c r="FN212" s="5"/>
      <c r="FO212" s="5"/>
      <c r="FP212" s="5"/>
      <c r="FQ212" s="5"/>
      <c r="FR212" s="5"/>
      <c r="FS212" s="5"/>
      <c r="FT212" s="5"/>
      <c r="FU212" s="5"/>
      <c r="FV212" s="5"/>
      <c r="FW212" s="5"/>
      <c r="FX212" s="5"/>
      <c r="FY212" s="5"/>
      <c r="FZ212" s="5"/>
      <c r="GA212" s="5"/>
      <c r="GB212" s="5"/>
      <c r="GC212" s="5"/>
      <c r="GD212" s="5"/>
      <c r="GE212" s="5"/>
      <c r="GF212" s="5"/>
      <c r="GG212" s="5"/>
      <c r="GH212" s="5"/>
      <c r="GI212" s="5"/>
      <c r="GJ212" s="5"/>
      <c r="GK212" s="5"/>
      <c r="GL212" s="5"/>
      <c r="GM212" s="5"/>
      <c r="GN212" s="5"/>
      <c r="GO212" s="5"/>
      <c r="GP212" s="5"/>
      <c r="GQ212" s="5"/>
      <c r="GR212" s="5"/>
      <c r="GS212" s="5"/>
      <c r="GT212" s="5"/>
      <c r="GU212" s="5"/>
      <c r="GV212" s="5"/>
      <c r="GW212" s="5"/>
      <c r="GX212" s="5"/>
      <c r="GY212" s="5"/>
      <c r="GZ212" s="5"/>
      <c r="HA212" s="5"/>
      <c r="HB212" s="5"/>
      <c r="HC212" s="5"/>
      <c r="HD212" s="5"/>
      <c r="HE212" s="5"/>
      <c r="HF212" s="5"/>
      <c r="HG212" s="5"/>
      <c r="HH212" s="5"/>
      <c r="HI212" s="5"/>
      <c r="HJ212" s="5"/>
      <c r="HK212" s="5"/>
      <c r="HL212" s="5"/>
      <c r="HM212" s="5"/>
      <c r="HN212" s="5"/>
      <c r="HO212" s="5"/>
      <c r="HP212" s="5"/>
      <c r="HQ212" s="5"/>
      <c r="HR212" s="5"/>
      <c r="HS212" s="5"/>
      <c r="HT212" s="5"/>
      <c r="HU212" s="5"/>
      <c r="HV212" s="5"/>
      <c r="HW212" s="5"/>
      <c r="HX212" s="5"/>
      <c r="HY212" s="5"/>
      <c r="HZ212" s="5"/>
      <c r="IA212" s="5"/>
      <c r="IB212" s="5"/>
      <c r="IC212" s="5"/>
      <c r="ID212" s="5"/>
    </row>
    <row r="213" spans="1:239" customHeight="1" ht="13.2">
      <c r="A213" s="3" t="s">
        <v>453</v>
      </c>
      <c r="B213" s="23" t="s">
        <v>454</v>
      </c>
      <c r="C213" s="11"/>
      <c r="D213" s="3" t="s">
        <v>20</v>
      </c>
      <c r="E213" s="3" t="s">
        <v>455</v>
      </c>
      <c r="F213" s="38">
        <v>450</v>
      </c>
      <c r="G213" s="38">
        <v>1800</v>
      </c>
      <c r="H213" s="3"/>
      <c r="I213" s="22" t="s">
        <v>456</v>
      </c>
      <c r="J213" s="38">
        <v>450</v>
      </c>
      <c r="K213" s="38">
        <v>1856</v>
      </c>
      <c r="L213" s="23" t="s">
        <v>454</v>
      </c>
      <c r="M213" s="11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  <c r="EV213" s="5"/>
      <c r="EW213" s="5"/>
      <c r="EX213" s="5"/>
      <c r="EY213" s="5"/>
      <c r="EZ213" s="5"/>
      <c r="FA213" s="5"/>
      <c r="FB213" s="5"/>
      <c r="FC213" s="5"/>
      <c r="FD213" s="5"/>
      <c r="FE213" s="5"/>
      <c r="FF213" s="5"/>
      <c r="FG213" s="5"/>
      <c r="FH213" s="5"/>
      <c r="FI213" s="5"/>
      <c r="FJ213" s="5"/>
      <c r="FK213" s="5"/>
      <c r="FL213" s="5"/>
      <c r="FM213" s="5"/>
      <c r="FN213" s="5"/>
      <c r="FO213" s="5"/>
      <c r="FP213" s="5"/>
      <c r="FQ213" s="5"/>
      <c r="FR213" s="5"/>
      <c r="FS213" s="5"/>
      <c r="FT213" s="5"/>
      <c r="FU213" s="5"/>
      <c r="FV213" s="5"/>
      <c r="FW213" s="5"/>
      <c r="FX213" s="5"/>
      <c r="FY213" s="5"/>
      <c r="FZ213" s="5"/>
      <c r="GA213" s="5"/>
      <c r="GB213" s="5"/>
      <c r="GC213" s="5"/>
      <c r="GD213" s="5"/>
      <c r="GE213" s="5"/>
      <c r="GF213" s="5"/>
      <c r="GG213" s="5"/>
      <c r="GH213" s="5"/>
      <c r="GI213" s="5"/>
      <c r="GJ213" s="5"/>
      <c r="GK213" s="5"/>
      <c r="GL213" s="5"/>
      <c r="GM213" s="5"/>
      <c r="GN213" s="5"/>
      <c r="GO213" s="5"/>
      <c r="GP213" s="5"/>
      <c r="GQ213" s="5"/>
      <c r="GR213" s="5"/>
      <c r="GS213" s="5"/>
      <c r="GT213" s="5"/>
      <c r="GU213" s="5"/>
      <c r="GV213" s="5"/>
      <c r="GW213" s="5"/>
      <c r="GX213" s="5"/>
      <c r="GY213" s="5"/>
      <c r="GZ213" s="5"/>
      <c r="HA213" s="5"/>
      <c r="HB213" s="5"/>
      <c r="HC213" s="5"/>
      <c r="HD213" s="5"/>
      <c r="HE213" s="5"/>
      <c r="HF213" s="5"/>
      <c r="HG213" s="5"/>
      <c r="HH213" s="5"/>
      <c r="HI213" s="5"/>
      <c r="HJ213" s="5"/>
      <c r="HK213" s="5"/>
      <c r="HL213" s="5"/>
      <c r="HM213" s="5"/>
      <c r="HN213" s="5"/>
      <c r="HO213" s="5"/>
      <c r="HP213" s="5"/>
      <c r="HQ213" s="5"/>
      <c r="HR213" s="5"/>
      <c r="HS213" s="5"/>
      <c r="HT213" s="5"/>
      <c r="HU213" s="5"/>
      <c r="HV213" s="5"/>
      <c r="HW213" s="5"/>
      <c r="HX213" s="5"/>
      <c r="HY213" s="5"/>
      <c r="HZ213" s="5"/>
      <c r="IA213" s="5"/>
      <c r="IB213" s="5"/>
      <c r="IC213" s="5"/>
      <c r="ID213" s="5"/>
    </row>
    <row r="214" spans="1:239" customHeight="1" ht="13.2">
      <c r="A214" s="3" t="s">
        <v>457</v>
      </c>
      <c r="B214" s="23" t="s">
        <v>458</v>
      </c>
      <c r="C214" s="11"/>
      <c r="D214" s="3" t="s">
        <v>20</v>
      </c>
      <c r="E214" s="3">
        <v>2004</v>
      </c>
      <c r="F214" s="38">
        <v>200</v>
      </c>
      <c r="G214" s="38">
        <v>751</v>
      </c>
      <c r="H214" s="3"/>
      <c r="I214" s="22">
        <v>2010</v>
      </c>
      <c r="J214" s="41">
        <v>200</v>
      </c>
      <c r="K214" s="38">
        <v>791</v>
      </c>
      <c r="L214" s="23" t="s">
        <v>458</v>
      </c>
      <c r="M214" s="11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5"/>
      <c r="FA214" s="5"/>
      <c r="FB214" s="5"/>
      <c r="FC214" s="5"/>
      <c r="FD214" s="5"/>
      <c r="FE214" s="5"/>
      <c r="FF214" s="5"/>
      <c r="FG214" s="5"/>
      <c r="FH214" s="5"/>
      <c r="FI214" s="5"/>
      <c r="FJ214" s="5"/>
      <c r="FK214" s="5"/>
      <c r="FL214" s="5"/>
      <c r="FM214" s="5"/>
      <c r="FN214" s="5"/>
      <c r="FO214" s="5"/>
      <c r="FP214" s="5"/>
      <c r="FQ214" s="5"/>
      <c r="FR214" s="5"/>
      <c r="FS214" s="5"/>
      <c r="FT214" s="5"/>
      <c r="FU214" s="5"/>
      <c r="FV214" s="5"/>
      <c r="FW214" s="5"/>
      <c r="FX214" s="5"/>
      <c r="FY214" s="5"/>
      <c r="FZ214" s="5"/>
      <c r="GA214" s="5"/>
      <c r="GB214" s="5"/>
      <c r="GC214" s="5"/>
      <c r="GD214" s="5"/>
      <c r="GE214" s="5"/>
      <c r="GF214" s="5"/>
      <c r="GG214" s="5"/>
      <c r="GH214" s="5"/>
      <c r="GI214" s="5"/>
      <c r="GJ214" s="5"/>
      <c r="GK214" s="5"/>
      <c r="GL214" s="5"/>
      <c r="GM214" s="5"/>
      <c r="GN214" s="5"/>
      <c r="GO214" s="5"/>
      <c r="GP214" s="5"/>
      <c r="GQ214" s="5"/>
      <c r="GR214" s="5"/>
      <c r="GS214" s="5"/>
      <c r="GT214" s="5"/>
      <c r="GU214" s="5"/>
      <c r="GV214" s="5"/>
      <c r="GW214" s="5"/>
      <c r="GX214" s="5"/>
      <c r="GY214" s="5"/>
      <c r="GZ214" s="5"/>
      <c r="HA214" s="5"/>
      <c r="HB214" s="5"/>
      <c r="HC214" s="5"/>
      <c r="HD214" s="5"/>
      <c r="HE214" s="5"/>
      <c r="HF214" s="5"/>
      <c r="HG214" s="5"/>
      <c r="HH214" s="5"/>
      <c r="HI214" s="5"/>
      <c r="HJ214" s="5"/>
      <c r="HK214" s="5"/>
      <c r="HL214" s="5"/>
      <c r="HM214" s="5"/>
      <c r="HN214" s="5"/>
      <c r="HO214" s="5"/>
      <c r="HP214" s="5"/>
      <c r="HQ214" s="5"/>
      <c r="HR214" s="5"/>
      <c r="HS214" s="5"/>
      <c r="HT214" s="5"/>
      <c r="HU214" s="5"/>
      <c r="HV214" s="5"/>
      <c r="HW214" s="5"/>
      <c r="HX214" s="5"/>
      <c r="HY214" s="5"/>
      <c r="HZ214" s="5"/>
      <c r="IA214" s="5"/>
      <c r="IB214" s="5"/>
      <c r="IC214" s="5"/>
      <c r="ID214" s="5"/>
    </row>
    <row r="215" spans="1:239" customHeight="1" ht="13.2">
      <c r="A215" s="3" t="s">
        <v>459</v>
      </c>
      <c r="B215" s="23" t="s">
        <v>460</v>
      </c>
      <c r="C215" s="11"/>
      <c r="D215" s="3" t="s">
        <v>20</v>
      </c>
      <c r="E215" s="3">
        <v>2010</v>
      </c>
      <c r="F215" s="38">
        <v>225</v>
      </c>
      <c r="G215" s="38">
        <v>835</v>
      </c>
      <c r="H215" s="3"/>
      <c r="I215" s="27">
        <v>42361</v>
      </c>
      <c r="J215" s="41">
        <v>225</v>
      </c>
      <c r="K215" s="38">
        <v>855</v>
      </c>
      <c r="L215" s="23" t="s">
        <v>461</v>
      </c>
      <c r="M215" s="11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5"/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  <c r="EV215" s="5"/>
      <c r="EW215" s="5"/>
      <c r="EX215" s="5"/>
      <c r="EY215" s="5"/>
      <c r="EZ215" s="5"/>
      <c r="FA215" s="5"/>
      <c r="FB215" s="5"/>
      <c r="FC215" s="5"/>
      <c r="FD215" s="5"/>
      <c r="FE215" s="5"/>
      <c r="FF215" s="5"/>
      <c r="FG215" s="5"/>
      <c r="FH215" s="5"/>
      <c r="FI215" s="5"/>
      <c r="FJ215" s="5"/>
      <c r="FK215" s="5"/>
      <c r="FL215" s="5"/>
      <c r="FM215" s="5"/>
      <c r="FN215" s="5"/>
      <c r="FO215" s="5"/>
      <c r="FP215" s="5"/>
      <c r="FQ215" s="5"/>
      <c r="FR215" s="5"/>
      <c r="FS215" s="5"/>
      <c r="FT215" s="5"/>
      <c r="FU215" s="5"/>
      <c r="FV215" s="5"/>
      <c r="FW215" s="5"/>
      <c r="FX215" s="5"/>
      <c r="FY215" s="5"/>
      <c r="FZ215" s="5"/>
      <c r="GA215" s="5"/>
      <c r="GB215" s="5"/>
      <c r="GC215" s="5"/>
      <c r="GD215" s="5"/>
      <c r="GE215" s="5"/>
      <c r="GF215" s="5"/>
      <c r="GG215" s="5"/>
      <c r="GH215" s="5"/>
      <c r="GI215" s="5"/>
      <c r="GJ215" s="5"/>
      <c r="GK215" s="5"/>
      <c r="GL215" s="5"/>
      <c r="GM215" s="5"/>
      <c r="GN215" s="5"/>
      <c r="GO215" s="5"/>
      <c r="GP215" s="5"/>
      <c r="GQ215" s="5"/>
      <c r="GR215" s="5"/>
      <c r="GS215" s="5"/>
      <c r="GT215" s="5"/>
      <c r="GU215" s="5"/>
      <c r="GV215" s="5"/>
      <c r="GW215" s="5"/>
      <c r="GX215" s="5"/>
      <c r="GY215" s="5"/>
      <c r="GZ215" s="5"/>
      <c r="HA215" s="5"/>
      <c r="HB215" s="5"/>
      <c r="HC215" s="5"/>
      <c r="HD215" s="5"/>
      <c r="HE215" s="5"/>
      <c r="HF215" s="5"/>
      <c r="HG215" s="5"/>
      <c r="HH215" s="5"/>
      <c r="HI215" s="5"/>
      <c r="HJ215" s="5"/>
      <c r="HK215" s="5"/>
      <c r="HL215" s="5"/>
      <c r="HM215" s="5"/>
      <c r="HN215" s="5"/>
      <c r="HO215" s="5"/>
      <c r="HP215" s="5"/>
      <c r="HQ215" s="5"/>
      <c r="HR215" s="5"/>
      <c r="HS215" s="5"/>
      <c r="HT215" s="5"/>
      <c r="HU215" s="5"/>
      <c r="HV215" s="5"/>
      <c r="HW215" s="5"/>
      <c r="HX215" s="5"/>
      <c r="HY215" s="5"/>
      <c r="HZ215" s="5"/>
      <c r="IA215" s="5"/>
      <c r="IB215" s="5"/>
      <c r="IC215" s="5"/>
      <c r="ID215" s="5"/>
    </row>
    <row r="216" spans="1:239" customHeight="1" ht="13.2">
      <c r="A216" s="3"/>
      <c r="B216" s="91" t="s">
        <v>462</v>
      </c>
      <c r="C216" s="91"/>
      <c r="D216" s="3"/>
      <c r="E216" s="15"/>
      <c r="F216" s="72">
        <f>SUM(F130+F175+F185+F186+F187+F189+F190+F192+F193+F194+F195+F196+F197+F198+F199+F200+F201+F202+F203+F204+F205+F206+F207+F208+F209+F210+F211+F212+F213+F214+F215)</f>
        <v>28111</v>
      </c>
      <c r="G216" s="72">
        <f>SUM(G130+G175+G185+G186+G187+G189+G190+G192+G193+G194+G195+G196+G197+G198+G199+G200+G201+G202+G203+G204+G205+G206+G207+G208+G209+G210+G211+G212+G213+G214+G215)</f>
        <v>110083</v>
      </c>
      <c r="H216" s="74"/>
      <c r="I216" s="75" t="s">
        <v>43</v>
      </c>
      <c r="J216" s="72">
        <f>SUM(J130+J175+J185+J186+J187+J188+J189+J190+J191+J192+J193+J194+J195+J196+J197+J198+J199+J200+J201+J202+J203+J204+J205+J206+J207+J208+J209+J210+J211+J212+J213+J214+J215)</f>
        <v>28200</v>
      </c>
      <c r="K216" s="72">
        <f>SUM(K130+K175+K185+K186+K187+K188+K189+K190+K191+K192+K193+K194+K195+K196+K197+K198+K199+K200+K201+K202+K203+K204+K205+K206+K207+K208+K209+K210+K211+K212+K213+K214+K215)</f>
        <v>111533</v>
      </c>
      <c r="L216" s="37" t="s">
        <v>43</v>
      </c>
      <c r="M216" s="11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5"/>
      <c r="FB216" s="5"/>
      <c r="FC216" s="5"/>
      <c r="FD216" s="5"/>
      <c r="FE216" s="5"/>
      <c r="FF216" s="5"/>
      <c r="FG216" s="5"/>
      <c r="FH216" s="5"/>
      <c r="FI216" s="5"/>
      <c r="FJ216" s="5"/>
      <c r="FK216" s="5"/>
      <c r="FL216" s="5"/>
      <c r="FM216" s="5"/>
      <c r="FN216" s="5"/>
      <c r="FO216" s="5"/>
      <c r="FP216" s="5"/>
      <c r="FQ216" s="5"/>
      <c r="FR216" s="5"/>
      <c r="FS216" s="5"/>
      <c r="FT216" s="5"/>
      <c r="FU216" s="5"/>
      <c r="FV216" s="5"/>
      <c r="FW216" s="5"/>
      <c r="FX216" s="5"/>
      <c r="FY216" s="5"/>
      <c r="FZ216" s="5"/>
      <c r="GA216" s="5"/>
      <c r="GB216" s="5"/>
      <c r="GC216" s="5"/>
      <c r="GD216" s="5"/>
      <c r="GE216" s="5"/>
      <c r="GF216" s="5"/>
      <c r="GG216" s="5"/>
      <c r="GH216" s="5"/>
      <c r="GI216" s="5"/>
      <c r="GJ216" s="5"/>
      <c r="GK216" s="5"/>
      <c r="GL216" s="5"/>
      <c r="GM216" s="5"/>
      <c r="GN216" s="5"/>
      <c r="GO216" s="5"/>
      <c r="GP216" s="5"/>
      <c r="GQ216" s="5"/>
      <c r="GR216" s="5"/>
      <c r="GS216" s="5"/>
      <c r="GT216" s="5"/>
      <c r="GU216" s="5"/>
      <c r="GV216" s="5"/>
      <c r="GW216" s="5"/>
      <c r="GX216" s="5"/>
      <c r="GY216" s="5"/>
      <c r="GZ216" s="5"/>
      <c r="HA216" s="5"/>
      <c r="HB216" s="5"/>
      <c r="HC216" s="5"/>
      <c r="HD216" s="5"/>
      <c r="HE216" s="5"/>
      <c r="HF216" s="5"/>
      <c r="HG216" s="5"/>
      <c r="HH216" s="5"/>
      <c r="HI216" s="5"/>
      <c r="HJ216" s="5"/>
      <c r="HK216" s="5"/>
      <c r="HL216" s="5"/>
      <c r="HM216" s="5"/>
      <c r="HN216" s="5"/>
      <c r="HO216" s="5"/>
      <c r="HP216" s="5"/>
      <c r="HQ216" s="5"/>
      <c r="HR216" s="5"/>
      <c r="HS216" s="5"/>
      <c r="HT216" s="5"/>
      <c r="HU216" s="5"/>
      <c r="HV216" s="5"/>
      <c r="HW216" s="5"/>
      <c r="HX216" s="5"/>
      <c r="HY216" s="5"/>
      <c r="HZ216" s="5"/>
      <c r="IA216" s="5"/>
      <c r="IB216" s="5"/>
      <c r="IC216" s="5"/>
      <c r="ID216" s="5"/>
    </row>
    <row r="217" spans="1:239" customHeight="1" ht="13.2">
      <c r="A217" s="3"/>
      <c r="B217" s="11"/>
      <c r="C217" s="11"/>
      <c r="D217" s="3"/>
      <c r="E217" s="15"/>
      <c r="F217" s="39"/>
      <c r="G217" s="39"/>
      <c r="H217" s="15"/>
      <c r="I217" s="30"/>
      <c r="J217" s="39"/>
      <c r="K217" s="39"/>
      <c r="L217" s="15"/>
      <c r="M217" s="11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5"/>
      <c r="EH217" s="5"/>
      <c r="EI217" s="5"/>
      <c r="EJ217" s="5"/>
      <c r="EK217" s="5"/>
      <c r="EL217" s="5"/>
      <c r="EM217" s="5"/>
      <c r="EN217" s="5"/>
      <c r="EO217" s="5"/>
      <c r="EP217" s="5"/>
      <c r="EQ217" s="5"/>
      <c r="ER217" s="5"/>
      <c r="ES217" s="5"/>
      <c r="ET217" s="5"/>
      <c r="EU217" s="5"/>
      <c r="EV217" s="5"/>
      <c r="EW217" s="5"/>
      <c r="EX217" s="5"/>
      <c r="EY217" s="5"/>
      <c r="EZ217" s="5"/>
      <c r="FA217" s="5"/>
      <c r="FB217" s="5"/>
      <c r="FC217" s="5"/>
      <c r="FD217" s="5"/>
      <c r="FE217" s="5"/>
      <c r="FF217" s="5"/>
      <c r="FG217" s="5"/>
      <c r="FH217" s="5"/>
      <c r="FI217" s="5"/>
      <c r="FJ217" s="5"/>
      <c r="FK217" s="5"/>
      <c r="FL217" s="5"/>
      <c r="FM217" s="5"/>
      <c r="FN217" s="5"/>
      <c r="FO217" s="5"/>
      <c r="FP217" s="5"/>
      <c r="FQ217" s="5"/>
      <c r="FR217" s="5"/>
      <c r="FS217" s="5"/>
      <c r="FT217" s="5"/>
      <c r="FU217" s="5"/>
      <c r="FV217" s="5"/>
      <c r="FW217" s="5"/>
      <c r="FX217" s="5"/>
      <c r="FY217" s="5"/>
      <c r="FZ217" s="5"/>
      <c r="GA217" s="5"/>
      <c r="GB217" s="5"/>
      <c r="GC217" s="5"/>
      <c r="GD217" s="5"/>
      <c r="GE217" s="5"/>
      <c r="GF217" s="5"/>
      <c r="GG217" s="5"/>
      <c r="GH217" s="5"/>
      <c r="GI217" s="5"/>
      <c r="GJ217" s="5"/>
      <c r="GK217" s="5"/>
      <c r="GL217" s="5"/>
      <c r="GM217" s="5"/>
      <c r="GN217" s="5"/>
      <c r="GO217" s="5"/>
      <c r="GP217" s="5"/>
      <c r="GQ217" s="5"/>
      <c r="GR217" s="5"/>
      <c r="GS217" s="5"/>
      <c r="GT217" s="5"/>
      <c r="GU217" s="5"/>
      <c r="GV217" s="5"/>
      <c r="GW217" s="5"/>
      <c r="GX217" s="5"/>
      <c r="GY217" s="5"/>
      <c r="GZ217" s="5"/>
      <c r="HA217" s="5"/>
      <c r="HB217" s="5"/>
      <c r="HC217" s="5"/>
      <c r="HD217" s="5"/>
      <c r="HE217" s="5"/>
      <c r="HF217" s="5"/>
      <c r="HG217" s="5"/>
      <c r="HH217" s="5"/>
      <c r="HI217" s="5"/>
      <c r="HJ217" s="5"/>
      <c r="HK217" s="5"/>
      <c r="HL217" s="5"/>
      <c r="HM217" s="5"/>
      <c r="HN217" s="5"/>
      <c r="HO217" s="5"/>
      <c r="HP217" s="5"/>
      <c r="HQ217" s="5"/>
      <c r="HR217" s="5"/>
      <c r="HS217" s="5"/>
      <c r="HT217" s="5"/>
      <c r="HU217" s="5"/>
      <c r="HV217" s="5"/>
      <c r="HW217" s="5"/>
      <c r="HX217" s="5"/>
      <c r="HY217" s="5"/>
      <c r="HZ217" s="5"/>
      <c r="IA217" s="5"/>
      <c r="IB217" s="5"/>
      <c r="IC217" s="5"/>
      <c r="ID217" s="5"/>
    </row>
    <row r="218" spans="1:239" customHeight="1" ht="13.2">
      <c r="A218" s="52"/>
      <c r="B218" s="7"/>
      <c r="C218" s="7"/>
      <c r="D218" s="52"/>
      <c r="E218" s="12"/>
      <c r="F218" s="12"/>
      <c r="G218" s="12"/>
      <c r="H218" s="12"/>
      <c r="I218" s="64"/>
      <c r="J218" s="12"/>
      <c r="K218" s="12"/>
      <c r="L218" s="12"/>
      <c r="M218" s="7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  <c r="FA218" s="5"/>
      <c r="FB218" s="5"/>
      <c r="FC218" s="5"/>
      <c r="FD218" s="5"/>
      <c r="FE218" s="5"/>
      <c r="FF218" s="5"/>
      <c r="FG218" s="5"/>
      <c r="FH218" s="5"/>
      <c r="FI218" s="5"/>
      <c r="FJ218" s="5"/>
      <c r="FK218" s="5"/>
      <c r="FL218" s="5"/>
      <c r="FM218" s="5"/>
      <c r="FN218" s="5"/>
      <c r="FO218" s="5"/>
      <c r="FP218" s="5"/>
      <c r="FQ218" s="5"/>
      <c r="FR218" s="5"/>
      <c r="FS218" s="5"/>
      <c r="FT218" s="5"/>
      <c r="FU218" s="5"/>
      <c r="FV218" s="5"/>
      <c r="FW218" s="5"/>
      <c r="FX218" s="5"/>
      <c r="FY218" s="5"/>
      <c r="FZ218" s="5"/>
      <c r="GA218" s="5"/>
      <c r="GB218" s="5"/>
      <c r="GC218" s="5"/>
      <c r="GD218" s="5"/>
      <c r="GE218" s="5"/>
      <c r="GF218" s="5"/>
      <c r="GG218" s="5"/>
      <c r="GH218" s="5"/>
      <c r="GI218" s="5"/>
      <c r="GJ218" s="5"/>
      <c r="GK218" s="5"/>
      <c r="GL218" s="5"/>
      <c r="GM218" s="5"/>
      <c r="GN218" s="5"/>
      <c r="GO218" s="5"/>
      <c r="GP218" s="5"/>
      <c r="GQ218" s="5"/>
      <c r="GR218" s="5"/>
      <c r="GS218" s="5"/>
      <c r="GT218" s="5"/>
      <c r="GU218" s="5"/>
      <c r="GV218" s="5"/>
      <c r="GW218" s="5"/>
      <c r="GX218" s="5"/>
      <c r="GY218" s="5"/>
      <c r="GZ218" s="5"/>
      <c r="HA218" s="5"/>
      <c r="HB218" s="5"/>
      <c r="HC218" s="5"/>
      <c r="HD218" s="5"/>
      <c r="HE218" s="5"/>
      <c r="HF218" s="5"/>
      <c r="HG218" s="5"/>
      <c r="HH218" s="5"/>
      <c r="HI218" s="5"/>
      <c r="HJ218" s="5"/>
      <c r="HK218" s="5"/>
      <c r="HL218" s="5"/>
      <c r="HM218" s="5"/>
      <c r="HN218" s="5"/>
      <c r="HO218" s="5"/>
      <c r="HP218" s="5"/>
      <c r="HQ218" s="5"/>
      <c r="HR218" s="5"/>
      <c r="HS218" s="5"/>
      <c r="HT218" s="5"/>
      <c r="HU218" s="5"/>
      <c r="HV218" s="5"/>
      <c r="HW218" s="5"/>
      <c r="HX218" s="5"/>
      <c r="HY218" s="5"/>
      <c r="HZ218" s="5"/>
      <c r="IA218" s="5"/>
      <c r="IB218" s="5"/>
      <c r="IC218" s="5"/>
      <c r="ID218" s="5"/>
    </row>
    <row r="219" spans="1:239" customHeight="1" ht="13.2">
      <c r="A219" s="9"/>
      <c r="B219" s="5"/>
      <c r="C219" s="5"/>
      <c r="D219" s="9"/>
      <c r="E219" s="32"/>
      <c r="F219" s="32"/>
      <c r="G219" s="32"/>
      <c r="H219" s="32"/>
      <c r="I219" s="65"/>
      <c r="J219" s="32"/>
      <c r="K219" s="32"/>
      <c r="L219" s="32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  <c r="EV219" s="5"/>
      <c r="EW219" s="5"/>
      <c r="EX219" s="5"/>
      <c r="EY219" s="5"/>
      <c r="EZ219" s="5"/>
      <c r="FA219" s="5"/>
      <c r="FB219" s="5"/>
      <c r="FC219" s="5"/>
      <c r="FD219" s="5"/>
      <c r="FE219" s="5"/>
      <c r="FF219" s="5"/>
      <c r="FG219" s="5"/>
      <c r="FH219" s="5"/>
      <c r="FI219" s="5"/>
      <c r="FJ219" s="5"/>
      <c r="FK219" s="5"/>
      <c r="FL219" s="5"/>
      <c r="FM219" s="5"/>
      <c r="FN219" s="5"/>
      <c r="FO219" s="5"/>
      <c r="FP219" s="5"/>
      <c r="FQ219" s="5"/>
      <c r="FR219" s="5"/>
      <c r="FS219" s="5"/>
      <c r="FT219" s="5"/>
      <c r="FU219" s="5"/>
      <c r="FV219" s="5"/>
      <c r="FW219" s="5"/>
      <c r="FX219" s="5"/>
      <c r="FY219" s="5"/>
      <c r="FZ219" s="5"/>
      <c r="GA219" s="5"/>
      <c r="GB219" s="5"/>
      <c r="GC219" s="5"/>
      <c r="GD219" s="5"/>
      <c r="GE219" s="5"/>
      <c r="GF219" s="5"/>
      <c r="GG219" s="5"/>
      <c r="GH219" s="5"/>
      <c r="GI219" s="5"/>
      <c r="GJ219" s="5"/>
      <c r="GK219" s="5"/>
      <c r="GL219" s="5"/>
      <c r="GM219" s="5"/>
      <c r="GN219" s="5"/>
      <c r="GO219" s="5"/>
      <c r="GP219" s="5"/>
      <c r="GQ219" s="5"/>
      <c r="GR219" s="5"/>
      <c r="GS219" s="5"/>
      <c r="GT219" s="5"/>
      <c r="GU219" s="5"/>
      <c r="GV219" s="5"/>
      <c r="GW219" s="5"/>
      <c r="GX219" s="5"/>
      <c r="GY219" s="5"/>
      <c r="GZ219" s="5"/>
      <c r="HA219" s="5"/>
      <c r="HB219" s="5"/>
      <c r="HC219" s="5"/>
      <c r="HD219" s="5"/>
      <c r="HE219" s="5"/>
      <c r="HF219" s="5"/>
      <c r="HG219" s="5"/>
      <c r="HH219" s="5"/>
      <c r="HI219" s="5"/>
      <c r="HJ219" s="5"/>
      <c r="HK219" s="5"/>
      <c r="HL219" s="5"/>
      <c r="HM219" s="5"/>
      <c r="HN219" s="5"/>
      <c r="HO219" s="5"/>
      <c r="HP219" s="5"/>
      <c r="HQ219" s="5"/>
      <c r="HR219" s="5"/>
      <c r="HS219" s="5"/>
      <c r="HT219" s="5"/>
      <c r="HU219" s="5"/>
      <c r="HV219" s="5"/>
      <c r="HW219" s="5"/>
      <c r="HX219" s="5"/>
      <c r="HY219" s="5"/>
      <c r="HZ219" s="5"/>
      <c r="IA219" s="5"/>
      <c r="IB219" s="5"/>
      <c r="IC219" s="5"/>
      <c r="ID219" s="5"/>
    </row>
    <row r="220" spans="1:239" customHeight="1" ht="13.2">
      <c r="A220" s="9"/>
      <c r="B220" s="5"/>
      <c r="C220" s="5"/>
      <c r="D220" s="9"/>
      <c r="E220" s="32"/>
      <c r="F220" s="32"/>
      <c r="G220" s="32"/>
      <c r="H220" s="32"/>
      <c r="I220" s="65"/>
      <c r="J220" s="32"/>
      <c r="K220" s="32"/>
      <c r="L220" s="32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  <c r="EN220" s="5"/>
      <c r="EO220" s="5"/>
      <c r="EP220" s="5"/>
      <c r="EQ220" s="5"/>
      <c r="ER220" s="5"/>
      <c r="ES220" s="5"/>
      <c r="ET220" s="5"/>
      <c r="EU220" s="5"/>
      <c r="EV220" s="5"/>
      <c r="EW220" s="5"/>
      <c r="EX220" s="5"/>
      <c r="EY220" s="5"/>
      <c r="EZ220" s="5"/>
      <c r="FA220" s="5"/>
      <c r="FB220" s="5"/>
      <c r="FC220" s="5"/>
      <c r="FD220" s="5"/>
      <c r="FE220" s="5"/>
      <c r="FF220" s="5"/>
      <c r="FG220" s="5"/>
      <c r="FH220" s="5"/>
      <c r="FI220" s="5"/>
      <c r="FJ220" s="5"/>
      <c r="FK220" s="5"/>
      <c r="FL220" s="5"/>
      <c r="FM220" s="5"/>
      <c r="FN220" s="5"/>
      <c r="FO220" s="5"/>
      <c r="FP220" s="5"/>
      <c r="FQ220" s="5"/>
      <c r="FR220" s="5"/>
      <c r="FS220" s="5"/>
      <c r="FT220" s="5"/>
      <c r="FU220" s="5"/>
      <c r="FV220" s="5"/>
      <c r="FW220" s="5"/>
      <c r="FX220" s="5"/>
      <c r="FY220" s="5"/>
      <c r="FZ220" s="5"/>
      <c r="GA220" s="5"/>
      <c r="GB220" s="5"/>
      <c r="GC220" s="5"/>
      <c r="GD220" s="5"/>
      <c r="GE220" s="5"/>
      <c r="GF220" s="5"/>
      <c r="GG220" s="5"/>
      <c r="GH220" s="5"/>
      <c r="GI220" s="5"/>
      <c r="GJ220" s="5"/>
      <c r="GK220" s="5"/>
      <c r="GL220" s="5"/>
      <c r="GM220" s="5"/>
      <c r="GN220" s="5"/>
      <c r="GO220" s="5"/>
      <c r="GP220" s="5"/>
      <c r="GQ220" s="5"/>
      <c r="GR220" s="5"/>
      <c r="GS220" s="5"/>
      <c r="GT220" s="5"/>
      <c r="GU220" s="5"/>
      <c r="GV220" s="5"/>
      <c r="GW220" s="5"/>
      <c r="GX220" s="5"/>
      <c r="GY220" s="5"/>
      <c r="GZ220" s="5"/>
      <c r="HA220" s="5"/>
      <c r="HB220" s="5"/>
      <c r="HC220" s="5"/>
      <c r="HD220" s="5"/>
      <c r="HE220" s="5"/>
      <c r="HF220" s="5"/>
      <c r="HG220" s="5"/>
      <c r="HH220" s="5"/>
      <c r="HI220" s="5"/>
      <c r="HJ220" s="5"/>
      <c r="HK220" s="5"/>
      <c r="HL220" s="5"/>
      <c r="HM220" s="5"/>
      <c r="HN220" s="5"/>
      <c r="HO220" s="5"/>
      <c r="HP220" s="5"/>
      <c r="HQ220" s="5"/>
      <c r="HR220" s="5"/>
      <c r="HS220" s="5"/>
      <c r="HT220" s="5"/>
      <c r="HU220" s="5"/>
      <c r="HV220" s="5"/>
      <c r="HW220" s="5"/>
      <c r="HX220" s="5"/>
      <c r="HY220" s="5"/>
      <c r="HZ220" s="5"/>
      <c r="IA220" s="5"/>
      <c r="IB220" s="5"/>
      <c r="IC220" s="5"/>
      <c r="ID220" s="5"/>
    </row>
    <row r="221" spans="1:239" customHeight="1" ht="13.8">
      <c r="A221" s="58"/>
      <c r="B221" s="57"/>
      <c r="C221" s="57"/>
      <c r="D221" s="58"/>
      <c r="E221" s="66"/>
      <c r="F221" s="66"/>
      <c r="G221" s="66"/>
      <c r="H221" s="66"/>
      <c r="I221" s="67"/>
      <c r="J221" s="66"/>
      <c r="K221" s="66"/>
      <c r="L221" s="66"/>
      <c r="M221" s="84" t="s">
        <v>463</v>
      </c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5"/>
      <c r="EH221" s="5"/>
      <c r="EI221" s="5"/>
      <c r="EJ221" s="5"/>
      <c r="EK221" s="5"/>
      <c r="EL221" s="5"/>
      <c r="EM221" s="5"/>
      <c r="EN221" s="5"/>
      <c r="EO221" s="5"/>
      <c r="EP221" s="5"/>
      <c r="EQ221" s="5"/>
      <c r="ER221" s="5"/>
      <c r="ES221" s="5"/>
      <c r="ET221" s="5"/>
      <c r="EU221" s="5"/>
      <c r="EV221" s="5"/>
      <c r="EW221" s="5"/>
      <c r="EX221" s="5"/>
      <c r="EY221" s="5"/>
      <c r="EZ221" s="5"/>
      <c r="FA221" s="5"/>
      <c r="FB221" s="5"/>
      <c r="FC221" s="5"/>
      <c r="FD221" s="5"/>
      <c r="FE221" s="5"/>
      <c r="FF221" s="5"/>
      <c r="FG221" s="5"/>
      <c r="FH221" s="5"/>
      <c r="FI221" s="5"/>
      <c r="FJ221" s="5"/>
      <c r="FK221" s="5"/>
      <c r="FL221" s="5"/>
      <c r="FM221" s="5"/>
      <c r="FN221" s="5"/>
      <c r="FO221" s="5"/>
      <c r="FP221" s="5"/>
      <c r="FQ221" s="5"/>
      <c r="FR221" s="5"/>
      <c r="FS221" s="5"/>
      <c r="FT221" s="5"/>
      <c r="FU221" s="5"/>
      <c r="FV221" s="5"/>
      <c r="FW221" s="5"/>
      <c r="FX221" s="5"/>
      <c r="FY221" s="5"/>
      <c r="FZ221" s="5"/>
      <c r="GA221" s="5"/>
      <c r="GB221" s="5"/>
      <c r="GC221" s="5"/>
      <c r="GD221" s="5"/>
      <c r="GE221" s="5"/>
      <c r="GF221" s="5"/>
      <c r="GG221" s="5"/>
      <c r="GH221" s="5"/>
      <c r="GI221" s="5"/>
      <c r="GJ221" s="5"/>
      <c r="GK221" s="5"/>
      <c r="GL221" s="5"/>
      <c r="GM221" s="5"/>
      <c r="GN221" s="5"/>
      <c r="GO221" s="5"/>
      <c r="GP221" s="5"/>
      <c r="GQ221" s="5"/>
      <c r="GR221" s="5"/>
      <c r="GS221" s="5"/>
      <c r="GT221" s="5"/>
      <c r="GU221" s="5"/>
      <c r="GV221" s="5"/>
      <c r="GW221" s="5"/>
      <c r="GX221" s="5"/>
      <c r="GY221" s="5"/>
      <c r="GZ221" s="5"/>
      <c r="HA221" s="5"/>
      <c r="HB221" s="5"/>
      <c r="HC221" s="5"/>
      <c r="HD221" s="5"/>
      <c r="HE221" s="5"/>
      <c r="HF221" s="5"/>
      <c r="HG221" s="5"/>
      <c r="HH221" s="5"/>
      <c r="HI221" s="5"/>
      <c r="HJ221" s="5"/>
      <c r="HK221" s="5"/>
      <c r="HL221" s="5"/>
      <c r="HM221" s="5"/>
      <c r="HN221" s="5"/>
      <c r="HO221" s="5"/>
      <c r="HP221" s="5"/>
      <c r="HQ221" s="5"/>
      <c r="HR221" s="5"/>
      <c r="HS221" s="5"/>
      <c r="HT221" s="5"/>
      <c r="HU221" s="5"/>
      <c r="HV221" s="5"/>
      <c r="HW221" s="5"/>
      <c r="HX221" s="5"/>
      <c r="HY221" s="5"/>
      <c r="HZ221" s="5"/>
      <c r="IA221" s="5"/>
      <c r="IB221" s="5"/>
      <c r="IC221" s="5"/>
      <c r="ID221" s="5"/>
    </row>
    <row r="222" spans="1:239" customHeight="1" ht="13.8">
      <c r="A222" s="97" t="s">
        <v>3</v>
      </c>
      <c r="B222" s="100" t="s">
        <v>4</v>
      </c>
      <c r="C222" s="100"/>
      <c r="D222" s="8" t="s">
        <v>5</v>
      </c>
      <c r="E222" s="97" t="s">
        <v>6</v>
      </c>
      <c r="F222" s="97"/>
      <c r="G222" s="97"/>
      <c r="H222" s="50"/>
      <c r="I222" s="97" t="s">
        <v>7</v>
      </c>
      <c r="J222" s="97"/>
      <c r="K222" s="97"/>
      <c r="L222" s="8" t="s">
        <v>8</v>
      </c>
      <c r="M222" s="97" t="s">
        <v>9</v>
      </c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  <c r="EV222" s="5"/>
      <c r="EW222" s="5"/>
      <c r="EX222" s="5"/>
      <c r="EY222" s="5"/>
      <c r="EZ222" s="5"/>
      <c r="FA222" s="5"/>
      <c r="FB222" s="5"/>
      <c r="FC222" s="5"/>
      <c r="FD222" s="5"/>
      <c r="FE222" s="5"/>
      <c r="FF222" s="5"/>
      <c r="FG222" s="5"/>
      <c r="FH222" s="5"/>
      <c r="FI222" s="5"/>
      <c r="FJ222" s="5"/>
      <c r="FK222" s="5"/>
      <c r="FL222" s="5"/>
      <c r="FM222" s="5"/>
      <c r="FN222" s="5"/>
      <c r="FO222" s="5"/>
      <c r="FP222" s="5"/>
      <c r="FQ222" s="5"/>
      <c r="FR222" s="5"/>
      <c r="FS222" s="5"/>
      <c r="FT222" s="5"/>
      <c r="FU222" s="5"/>
      <c r="FV222" s="5"/>
      <c r="FW222" s="5"/>
      <c r="FX222" s="5"/>
      <c r="FY222" s="5"/>
      <c r="FZ222" s="5"/>
      <c r="GA222" s="5"/>
      <c r="GB222" s="5"/>
      <c r="GC222" s="5"/>
      <c r="GD222" s="5"/>
      <c r="GE222" s="5"/>
      <c r="GF222" s="5"/>
      <c r="GG222" s="5"/>
      <c r="GH222" s="5"/>
      <c r="GI222" s="5"/>
      <c r="GJ222" s="5"/>
      <c r="GK222" s="5"/>
      <c r="GL222" s="5"/>
      <c r="GM222" s="5"/>
      <c r="GN222" s="5"/>
      <c r="GO222" s="5"/>
      <c r="GP222" s="5"/>
      <c r="GQ222" s="5"/>
      <c r="GR222" s="5"/>
      <c r="GS222" s="5"/>
      <c r="GT222" s="5"/>
      <c r="GU222" s="5"/>
      <c r="GV222" s="5"/>
      <c r="GW222" s="5"/>
      <c r="GX222" s="5"/>
      <c r="GY222" s="5"/>
      <c r="GZ222" s="5"/>
      <c r="HA222" s="5"/>
      <c r="HB222" s="5"/>
      <c r="HC222" s="5"/>
      <c r="HD222" s="5"/>
      <c r="HE222" s="5"/>
      <c r="HF222" s="5"/>
      <c r="HG222" s="5"/>
      <c r="HH222" s="5"/>
      <c r="HI222" s="5"/>
      <c r="HJ222" s="5"/>
      <c r="HK222" s="5"/>
      <c r="HL222" s="5"/>
      <c r="HM222" s="5"/>
      <c r="HN222" s="5"/>
      <c r="HO222" s="5"/>
      <c r="HP222" s="5"/>
      <c r="HQ222" s="5"/>
      <c r="HR222" s="5"/>
      <c r="HS222" s="5"/>
      <c r="HT222" s="5"/>
      <c r="HU222" s="5"/>
      <c r="HV222" s="5"/>
      <c r="HW222" s="5"/>
      <c r="HX222" s="5"/>
      <c r="HY222" s="5"/>
      <c r="HZ222" s="5"/>
      <c r="IA222" s="5"/>
      <c r="IB222" s="5"/>
      <c r="IC222" s="5"/>
      <c r="ID222" s="5"/>
    </row>
    <row r="223" spans="1:239" customHeight="1" ht="13.2">
      <c r="A223" s="98"/>
      <c r="B223" s="97" t="s">
        <v>10</v>
      </c>
      <c r="C223" s="97"/>
      <c r="D223" s="14" t="s">
        <v>11</v>
      </c>
      <c r="E223" s="15" t="s">
        <v>12</v>
      </c>
      <c r="F223" s="15" t="s">
        <v>13</v>
      </c>
      <c r="G223" s="15" t="s">
        <v>14</v>
      </c>
      <c r="H223" s="15" t="s">
        <v>12</v>
      </c>
      <c r="I223" s="15" t="s">
        <v>12</v>
      </c>
      <c r="J223" s="15" t="s">
        <v>13</v>
      </c>
      <c r="K223" s="15" t="s">
        <v>14</v>
      </c>
      <c r="L223" s="14" t="s">
        <v>15</v>
      </c>
      <c r="M223" s="99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5"/>
      <c r="FC223" s="5"/>
      <c r="FD223" s="5"/>
      <c r="FE223" s="5"/>
      <c r="FF223" s="5"/>
      <c r="FG223" s="5"/>
      <c r="FH223" s="5"/>
      <c r="FI223" s="5"/>
      <c r="FJ223" s="5"/>
      <c r="FK223" s="5"/>
      <c r="FL223" s="5"/>
      <c r="FM223" s="5"/>
      <c r="FN223" s="5"/>
      <c r="FO223" s="5"/>
      <c r="FP223" s="5"/>
      <c r="FQ223" s="5"/>
      <c r="FR223" s="5"/>
      <c r="FS223" s="5"/>
      <c r="FT223" s="5"/>
      <c r="FU223" s="5"/>
      <c r="FV223" s="5"/>
      <c r="FW223" s="5"/>
      <c r="FX223" s="5"/>
      <c r="FY223" s="5"/>
      <c r="FZ223" s="5"/>
      <c r="GA223" s="5"/>
      <c r="GB223" s="5"/>
      <c r="GC223" s="5"/>
      <c r="GD223" s="5"/>
      <c r="GE223" s="5"/>
      <c r="GF223" s="5"/>
      <c r="GG223" s="5"/>
      <c r="GH223" s="5"/>
      <c r="GI223" s="5"/>
      <c r="GJ223" s="5"/>
      <c r="GK223" s="5"/>
      <c r="GL223" s="5"/>
      <c r="GM223" s="5"/>
      <c r="GN223" s="5"/>
      <c r="GO223" s="5"/>
      <c r="GP223" s="5"/>
      <c r="GQ223" s="5"/>
      <c r="GR223" s="5"/>
      <c r="GS223" s="5"/>
      <c r="GT223" s="5"/>
      <c r="GU223" s="5"/>
      <c r="GV223" s="5"/>
      <c r="GW223" s="5"/>
      <c r="GX223" s="5"/>
      <c r="GY223" s="5"/>
      <c r="GZ223" s="5"/>
      <c r="HA223" s="5"/>
      <c r="HB223" s="5"/>
      <c r="HC223" s="5"/>
      <c r="HD223" s="5"/>
      <c r="HE223" s="5"/>
      <c r="HF223" s="5"/>
      <c r="HG223" s="5"/>
      <c r="HH223" s="5"/>
      <c r="HI223" s="5"/>
      <c r="HJ223" s="5"/>
      <c r="HK223" s="5"/>
      <c r="HL223" s="5"/>
      <c r="HM223" s="5"/>
      <c r="HN223" s="5"/>
      <c r="HO223" s="5"/>
      <c r="HP223" s="5"/>
      <c r="HQ223" s="5"/>
      <c r="HR223" s="5"/>
      <c r="HS223" s="5"/>
      <c r="HT223" s="5"/>
      <c r="HU223" s="5"/>
      <c r="HV223" s="5"/>
      <c r="HW223" s="5"/>
      <c r="HX223" s="5"/>
      <c r="HY223" s="5"/>
      <c r="HZ223" s="5"/>
      <c r="IA223" s="5"/>
      <c r="IB223" s="5"/>
      <c r="IC223" s="5"/>
      <c r="ID223" s="5"/>
    </row>
    <row r="224" spans="1:239" customHeight="1" ht="13.2">
      <c r="A224" s="63">
        <v>1</v>
      </c>
      <c r="B224" s="95">
        <v>2</v>
      </c>
      <c r="C224" s="96"/>
      <c r="D224" s="85">
        <v>3</v>
      </c>
      <c r="E224" s="85">
        <v>4</v>
      </c>
      <c r="F224" s="85">
        <v>5</v>
      </c>
      <c r="G224" s="86">
        <v>6</v>
      </c>
      <c r="H224" s="87">
        <v>7</v>
      </c>
      <c r="I224" s="85">
        <v>7</v>
      </c>
      <c r="J224" s="86">
        <v>8</v>
      </c>
      <c r="K224" s="88">
        <v>9</v>
      </c>
      <c r="L224" s="85">
        <v>10</v>
      </c>
      <c r="M224" s="85">
        <v>11</v>
      </c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  <c r="EG224" s="5"/>
      <c r="EH224" s="5"/>
      <c r="EI224" s="5"/>
      <c r="EJ224" s="5"/>
      <c r="EK224" s="5"/>
      <c r="EL224" s="5"/>
      <c r="EM224" s="5"/>
      <c r="EN224" s="5"/>
      <c r="EO224" s="5"/>
      <c r="EP224" s="5"/>
      <c r="EQ224" s="5"/>
      <c r="ER224" s="5"/>
      <c r="ES224" s="5"/>
      <c r="ET224" s="5"/>
      <c r="EU224" s="5"/>
      <c r="EV224" s="5"/>
      <c r="EW224" s="5"/>
      <c r="EX224" s="5"/>
      <c r="EY224" s="5"/>
      <c r="EZ224" s="5"/>
      <c r="FA224" s="5"/>
      <c r="FB224" s="5"/>
      <c r="FC224" s="5"/>
      <c r="FD224" s="5"/>
      <c r="FE224" s="5"/>
      <c r="FF224" s="5"/>
      <c r="FG224" s="5"/>
      <c r="FH224" s="5"/>
      <c r="FI224" s="5"/>
      <c r="FJ224" s="5"/>
      <c r="FK224" s="5"/>
      <c r="FL224" s="5"/>
      <c r="FM224" s="5"/>
      <c r="FN224" s="5"/>
      <c r="FO224" s="5"/>
      <c r="FP224" s="5"/>
      <c r="FQ224" s="5"/>
      <c r="FR224" s="5"/>
      <c r="FS224" s="5"/>
      <c r="FT224" s="5"/>
      <c r="FU224" s="5"/>
      <c r="FV224" s="5"/>
      <c r="FW224" s="5"/>
      <c r="FX224" s="5"/>
      <c r="FY224" s="5"/>
      <c r="FZ224" s="5"/>
      <c r="GA224" s="5"/>
      <c r="GB224" s="5"/>
      <c r="GC224" s="5"/>
      <c r="GD224" s="5"/>
      <c r="GE224" s="5"/>
      <c r="GF224" s="5"/>
      <c r="GG224" s="5"/>
      <c r="GH224" s="5"/>
      <c r="GI224" s="5"/>
      <c r="GJ224" s="5"/>
      <c r="GK224" s="5"/>
      <c r="GL224" s="5"/>
      <c r="GM224" s="5"/>
      <c r="GN224" s="5"/>
      <c r="GO224" s="5"/>
      <c r="GP224" s="5"/>
      <c r="GQ224" s="5"/>
      <c r="GR224" s="5"/>
      <c r="GS224" s="5"/>
      <c r="GT224" s="5"/>
      <c r="GU224" s="5"/>
      <c r="GV224" s="5"/>
      <c r="GW224" s="5"/>
      <c r="GX224" s="5"/>
      <c r="GY224" s="5"/>
      <c r="GZ224" s="5"/>
      <c r="HA224" s="5"/>
      <c r="HB224" s="5"/>
      <c r="HC224" s="5"/>
      <c r="HD224" s="5"/>
      <c r="HE224" s="5"/>
      <c r="HF224" s="5"/>
      <c r="HG224" s="5"/>
      <c r="HH224" s="5"/>
      <c r="HI224" s="5"/>
      <c r="HJ224" s="5"/>
      <c r="HK224" s="5"/>
      <c r="HL224" s="5"/>
      <c r="HM224" s="5"/>
      <c r="HN224" s="5"/>
      <c r="HO224" s="5"/>
      <c r="HP224" s="5"/>
      <c r="HQ224" s="5"/>
      <c r="HR224" s="5"/>
      <c r="HS224" s="5"/>
      <c r="HT224" s="5"/>
      <c r="HU224" s="5"/>
      <c r="HV224" s="5"/>
      <c r="HW224" s="5"/>
      <c r="HX224" s="5"/>
      <c r="HY224" s="5"/>
      <c r="HZ224" s="5"/>
      <c r="IA224" s="5"/>
      <c r="IB224" s="5"/>
      <c r="IC224" s="5"/>
      <c r="ID224" s="5"/>
    </row>
    <row r="225" spans="1:239" customHeight="1" ht="13.2" s="11" customFormat="1">
      <c r="A225" s="15"/>
      <c r="B225" s="15"/>
      <c r="C225" s="15"/>
      <c r="D225" s="15"/>
      <c r="E225" s="15"/>
      <c r="F225" s="39"/>
      <c r="G225" s="39"/>
      <c r="H225" s="15"/>
      <c r="I225" s="15"/>
      <c r="J225" s="39"/>
      <c r="K225" s="39"/>
      <c r="L225" s="15"/>
      <c r="M225" s="15"/>
      <c r="N225" s="47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19"/>
      <c r="BA225" s="90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5"/>
      <c r="EN225" s="5"/>
      <c r="EO225" s="5"/>
      <c r="EP225" s="5"/>
      <c r="EQ225" s="5"/>
      <c r="ER225" s="5"/>
      <c r="ES225" s="5"/>
      <c r="ET225" s="5"/>
      <c r="EU225" s="5"/>
      <c r="EV225" s="5"/>
      <c r="EW225" s="5"/>
      <c r="EX225" s="5"/>
      <c r="EY225" s="5"/>
      <c r="EZ225" s="5"/>
      <c r="FA225" s="5"/>
      <c r="FB225" s="5"/>
      <c r="FC225" s="5"/>
      <c r="FD225" s="5"/>
      <c r="FE225" s="5"/>
      <c r="FF225" s="5"/>
      <c r="FG225" s="5"/>
      <c r="FH225" s="5"/>
      <c r="FI225" s="5"/>
      <c r="FJ225" s="5"/>
      <c r="FK225" s="5"/>
      <c r="FL225" s="5"/>
      <c r="FM225" s="5"/>
      <c r="FN225" s="5"/>
      <c r="FO225" s="5"/>
      <c r="FP225" s="5"/>
      <c r="FQ225" s="5"/>
      <c r="FR225" s="5"/>
      <c r="FS225" s="5"/>
      <c r="FT225" s="5"/>
      <c r="FU225" s="5"/>
      <c r="FV225" s="5"/>
      <c r="FW225" s="5"/>
      <c r="FX225" s="5"/>
      <c r="FY225" s="5"/>
      <c r="FZ225" s="5"/>
      <c r="GA225" s="5"/>
      <c r="GB225" s="5"/>
      <c r="GC225" s="5"/>
      <c r="GD225" s="5"/>
      <c r="GE225" s="5"/>
      <c r="GF225" s="5"/>
      <c r="GG225" s="5"/>
      <c r="GH225" s="5"/>
      <c r="GI225" s="5"/>
      <c r="GJ225" s="5"/>
      <c r="GK225" s="5"/>
      <c r="GL225" s="5"/>
      <c r="GM225" s="5"/>
      <c r="GN225" s="5"/>
      <c r="GO225" s="5"/>
      <c r="GP225" s="5"/>
      <c r="GQ225" s="5"/>
      <c r="GR225" s="5"/>
      <c r="GS225" s="5"/>
      <c r="GT225" s="5"/>
      <c r="GU225" s="5"/>
      <c r="GV225" s="5"/>
      <c r="GW225" s="5"/>
      <c r="GX225" s="5"/>
      <c r="GY225" s="5"/>
      <c r="GZ225" s="5"/>
      <c r="HA225" s="5"/>
      <c r="HB225" s="5"/>
      <c r="HC225" s="5"/>
      <c r="HD225" s="5"/>
      <c r="HE225" s="5"/>
      <c r="HF225" s="5"/>
      <c r="HG225" s="5"/>
      <c r="HH225" s="5"/>
      <c r="HI225" s="5"/>
      <c r="HJ225" s="5"/>
      <c r="HK225" s="5"/>
      <c r="HL225" s="5"/>
      <c r="HM225" s="5"/>
      <c r="HN225" s="5"/>
      <c r="HO225" s="5"/>
      <c r="HP225" s="5"/>
      <c r="HQ225" s="5"/>
      <c r="HR225" s="5"/>
      <c r="HS225" s="5"/>
      <c r="HT225" s="5"/>
      <c r="HU225" s="5"/>
      <c r="HV225" s="5"/>
      <c r="HW225" s="5"/>
      <c r="HX225" s="5"/>
      <c r="HY225" s="5"/>
      <c r="HZ225" s="5"/>
      <c r="IA225" s="5"/>
      <c r="IB225" s="5"/>
      <c r="IC225" s="5"/>
      <c r="ID225" s="5"/>
      <c r="IE225" s="19"/>
    </row>
    <row r="226" spans="1:239" customHeight="1" ht="13.2" s="11" customFormat="1">
      <c r="A226" s="15" t="s">
        <v>464</v>
      </c>
      <c r="B226" s="21" t="s">
        <v>465</v>
      </c>
      <c r="D226" s="3"/>
      <c r="E226" s="3"/>
      <c r="F226" s="38"/>
      <c r="G226" s="38"/>
      <c r="H226" s="3"/>
      <c r="I226" s="3"/>
      <c r="J226" s="38"/>
      <c r="K226" s="38"/>
      <c r="L226" s="23"/>
      <c r="N226" s="47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19"/>
      <c r="BA226" s="90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  <c r="EN226" s="5"/>
      <c r="EO226" s="5"/>
      <c r="EP226" s="5"/>
      <c r="EQ226" s="5"/>
      <c r="ER226" s="5"/>
      <c r="ES226" s="5"/>
      <c r="ET226" s="5"/>
      <c r="EU226" s="5"/>
      <c r="EV226" s="5"/>
      <c r="EW226" s="5"/>
      <c r="EX226" s="5"/>
      <c r="EY226" s="5"/>
      <c r="EZ226" s="5"/>
      <c r="FA226" s="5"/>
      <c r="FB226" s="5"/>
      <c r="FC226" s="5"/>
      <c r="FD226" s="5"/>
      <c r="FE226" s="5"/>
      <c r="FF226" s="5"/>
      <c r="FG226" s="5"/>
      <c r="FH226" s="5"/>
      <c r="FI226" s="5"/>
      <c r="FJ226" s="5"/>
      <c r="FK226" s="5"/>
      <c r="FL226" s="5"/>
      <c r="FM226" s="5"/>
      <c r="FN226" s="5"/>
      <c r="FO226" s="5"/>
      <c r="FP226" s="5"/>
      <c r="FQ226" s="5"/>
      <c r="FR226" s="5"/>
      <c r="FS226" s="5"/>
      <c r="FT226" s="5"/>
      <c r="FU226" s="5"/>
      <c r="FV226" s="5"/>
      <c r="FW226" s="5"/>
      <c r="FX226" s="5"/>
      <c r="FY226" s="5"/>
      <c r="FZ226" s="5"/>
      <c r="GA226" s="5"/>
      <c r="GB226" s="5"/>
      <c r="GC226" s="5"/>
      <c r="GD226" s="5"/>
      <c r="GE226" s="5"/>
      <c r="GF226" s="5"/>
      <c r="GG226" s="5"/>
      <c r="GH226" s="5"/>
      <c r="GI226" s="5"/>
      <c r="GJ226" s="5"/>
      <c r="GK226" s="5"/>
      <c r="GL226" s="5"/>
      <c r="GM226" s="5"/>
      <c r="GN226" s="5"/>
      <c r="GO226" s="5"/>
      <c r="GP226" s="5"/>
      <c r="GQ226" s="5"/>
      <c r="GR226" s="5"/>
      <c r="GS226" s="5"/>
      <c r="GT226" s="5"/>
      <c r="GU226" s="5"/>
      <c r="GV226" s="5"/>
      <c r="GW226" s="5"/>
      <c r="GX226" s="5"/>
      <c r="GY226" s="5"/>
      <c r="GZ226" s="5"/>
      <c r="HA226" s="5"/>
      <c r="HB226" s="5"/>
      <c r="HC226" s="5"/>
      <c r="HD226" s="5"/>
      <c r="HE226" s="5"/>
      <c r="HF226" s="5"/>
      <c r="HG226" s="5"/>
      <c r="HH226" s="5"/>
      <c r="HI226" s="5"/>
      <c r="HJ226" s="5"/>
      <c r="HK226" s="5"/>
      <c r="HL226" s="5"/>
      <c r="HM226" s="5"/>
      <c r="HN226" s="5"/>
      <c r="HO226" s="5"/>
      <c r="HP226" s="5"/>
      <c r="HQ226" s="5"/>
      <c r="HR226" s="5"/>
      <c r="HS226" s="5"/>
      <c r="HT226" s="5"/>
      <c r="HU226" s="5"/>
      <c r="HV226" s="5"/>
      <c r="HW226" s="5"/>
      <c r="HX226" s="5"/>
      <c r="HY226" s="5"/>
      <c r="HZ226" s="5"/>
      <c r="IA226" s="5"/>
      <c r="IB226" s="5"/>
      <c r="IC226" s="5"/>
      <c r="ID226" s="5"/>
      <c r="IE226" s="19"/>
    </row>
    <row r="227" spans="1:239" customHeight="1" ht="13.2">
      <c r="A227" s="3" t="s">
        <v>466</v>
      </c>
      <c r="B227" s="18" t="s">
        <v>467</v>
      </c>
      <c r="C227" s="17"/>
      <c r="D227" s="2" t="s">
        <v>20</v>
      </c>
      <c r="E227" s="2" t="s">
        <v>468</v>
      </c>
      <c r="F227" s="44">
        <v>450</v>
      </c>
      <c r="G227" s="44">
        <v>1733</v>
      </c>
      <c r="H227" s="2"/>
      <c r="I227" s="2" t="s">
        <v>469</v>
      </c>
      <c r="J227" s="44">
        <v>452</v>
      </c>
      <c r="K227" s="44">
        <v>1741</v>
      </c>
      <c r="L227" s="18" t="s">
        <v>467</v>
      </c>
      <c r="M227" s="17"/>
      <c r="N227" s="47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5"/>
      <c r="EI227" s="5"/>
      <c r="EJ227" s="5"/>
      <c r="EK227" s="5"/>
      <c r="EL227" s="5"/>
      <c r="EM227" s="5"/>
      <c r="EN227" s="5"/>
      <c r="EO227" s="5"/>
      <c r="EP227" s="5"/>
      <c r="EQ227" s="5"/>
      <c r="ER227" s="5"/>
      <c r="ES227" s="5"/>
      <c r="ET227" s="5"/>
      <c r="EU227" s="5"/>
      <c r="EV227" s="5"/>
      <c r="EW227" s="5"/>
      <c r="EX227" s="5"/>
      <c r="EY227" s="5"/>
      <c r="EZ227" s="5"/>
      <c r="FA227" s="5"/>
      <c r="FB227" s="5"/>
      <c r="FC227" s="5"/>
      <c r="FD227" s="5"/>
      <c r="FE227" s="5"/>
      <c r="FF227" s="5"/>
      <c r="FG227" s="5"/>
      <c r="FH227" s="5"/>
      <c r="FI227" s="5"/>
      <c r="FJ227" s="5"/>
      <c r="FK227" s="5"/>
      <c r="FL227" s="5"/>
      <c r="FM227" s="5"/>
      <c r="FN227" s="5"/>
      <c r="FO227" s="5"/>
      <c r="FP227" s="5"/>
      <c r="FQ227" s="5"/>
      <c r="FR227" s="5"/>
      <c r="FS227" s="5"/>
      <c r="FT227" s="5"/>
      <c r="FU227" s="5"/>
      <c r="FV227" s="5"/>
      <c r="FW227" s="5"/>
      <c r="FX227" s="5"/>
      <c r="FY227" s="5"/>
      <c r="FZ227" s="5"/>
      <c r="GA227" s="5"/>
      <c r="GB227" s="5"/>
      <c r="GC227" s="5"/>
      <c r="GD227" s="5"/>
      <c r="GE227" s="5"/>
      <c r="GF227" s="5"/>
      <c r="GG227" s="5"/>
      <c r="GH227" s="5"/>
      <c r="GI227" s="5"/>
      <c r="GJ227" s="5"/>
      <c r="GK227" s="5"/>
      <c r="GL227" s="5"/>
      <c r="GM227" s="5"/>
      <c r="GN227" s="5"/>
      <c r="GO227" s="5"/>
      <c r="GP227" s="5"/>
      <c r="GQ227" s="5"/>
      <c r="GR227" s="5"/>
      <c r="GS227" s="5"/>
      <c r="GT227" s="5"/>
      <c r="GU227" s="5"/>
      <c r="GV227" s="5"/>
      <c r="GW227" s="5"/>
      <c r="GX227" s="5"/>
      <c r="GY227" s="5"/>
      <c r="GZ227" s="5"/>
      <c r="HA227" s="5"/>
      <c r="HB227" s="5"/>
      <c r="HC227" s="5"/>
      <c r="HD227" s="5"/>
      <c r="HE227" s="5"/>
      <c r="HF227" s="5"/>
      <c r="HG227" s="5"/>
      <c r="HH227" s="5"/>
      <c r="HI227" s="5"/>
      <c r="HJ227" s="5"/>
      <c r="HK227" s="5"/>
      <c r="HL227" s="5"/>
      <c r="HM227" s="5"/>
      <c r="HN227" s="5"/>
      <c r="HO227" s="5"/>
      <c r="HP227" s="5"/>
      <c r="HQ227" s="5"/>
      <c r="HR227" s="5"/>
      <c r="HS227" s="5"/>
      <c r="HT227" s="5"/>
      <c r="HU227" s="5"/>
      <c r="HV227" s="5"/>
      <c r="HW227" s="5"/>
      <c r="HX227" s="5"/>
      <c r="HY227" s="5"/>
      <c r="HZ227" s="5"/>
      <c r="IA227" s="5"/>
      <c r="IB227" s="5"/>
      <c r="IC227" s="5"/>
      <c r="ID227" s="5"/>
    </row>
    <row r="228" spans="1:239" customHeight="1" ht="13.2">
      <c r="A228" s="3" t="s">
        <v>470</v>
      </c>
      <c r="B228" s="23" t="s">
        <v>471</v>
      </c>
      <c r="C228" s="11"/>
      <c r="D228" s="3" t="s">
        <v>20</v>
      </c>
      <c r="E228" s="3">
        <v>2004</v>
      </c>
      <c r="F228" s="38">
        <v>250</v>
      </c>
      <c r="G228" s="38">
        <v>985</v>
      </c>
      <c r="H228" s="3"/>
      <c r="I228" s="78">
        <v>2010</v>
      </c>
      <c r="J228" s="40">
        <v>250</v>
      </c>
      <c r="K228" s="38">
        <v>1032</v>
      </c>
      <c r="L228" s="23" t="s">
        <v>471</v>
      </c>
      <c r="M228" s="11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  <c r="FA228" s="5"/>
      <c r="FB228" s="5"/>
      <c r="FC228" s="5"/>
      <c r="FD228" s="5"/>
      <c r="FE228" s="5"/>
      <c r="FF228" s="5"/>
      <c r="FG228" s="5"/>
      <c r="FH228" s="5"/>
      <c r="FI228" s="5"/>
      <c r="FJ228" s="5"/>
      <c r="FK228" s="5"/>
      <c r="FL228" s="5"/>
      <c r="FM228" s="5"/>
      <c r="FN228" s="5"/>
      <c r="FO228" s="5"/>
      <c r="FP228" s="5"/>
      <c r="FQ228" s="5"/>
      <c r="FR228" s="5"/>
      <c r="FS228" s="5"/>
      <c r="FT228" s="5"/>
      <c r="FU228" s="5"/>
      <c r="FV228" s="5"/>
      <c r="FW228" s="5"/>
      <c r="FX228" s="5"/>
      <c r="FY228" s="5"/>
      <c r="FZ228" s="5"/>
      <c r="GA228" s="5"/>
      <c r="GB228" s="5"/>
      <c r="GC228" s="5"/>
      <c r="GD228" s="5"/>
      <c r="GE228" s="5"/>
      <c r="GF228" s="5"/>
      <c r="GG228" s="5"/>
      <c r="GH228" s="5"/>
      <c r="GI228" s="5"/>
      <c r="GJ228" s="5"/>
      <c r="GK228" s="5"/>
      <c r="GL228" s="5"/>
      <c r="GM228" s="5"/>
      <c r="GN228" s="5"/>
      <c r="GO228" s="5"/>
      <c r="GP228" s="5"/>
      <c r="GQ228" s="5"/>
      <c r="GR228" s="5"/>
      <c r="GS228" s="5"/>
      <c r="GT228" s="5"/>
      <c r="GU228" s="5"/>
      <c r="GV228" s="5"/>
      <c r="GW228" s="5"/>
      <c r="GX228" s="5"/>
      <c r="GY228" s="5"/>
      <c r="GZ228" s="5"/>
      <c r="HA228" s="5"/>
      <c r="HB228" s="5"/>
      <c r="HC228" s="5"/>
      <c r="HD228" s="5"/>
      <c r="HE228" s="5"/>
      <c r="HF228" s="5"/>
      <c r="HG228" s="5"/>
      <c r="HH228" s="5"/>
      <c r="HI228" s="5"/>
      <c r="HJ228" s="5"/>
      <c r="HK228" s="5"/>
      <c r="HL228" s="5"/>
      <c r="HM228" s="5"/>
      <c r="HN228" s="5"/>
      <c r="HO228" s="5"/>
      <c r="HP228" s="5"/>
      <c r="HQ228" s="5"/>
      <c r="HR228" s="5"/>
      <c r="HS228" s="5"/>
      <c r="HT228" s="5"/>
      <c r="HU228" s="5"/>
      <c r="HV228" s="5"/>
      <c r="HW228" s="5"/>
      <c r="HX228" s="5"/>
      <c r="HY228" s="5"/>
      <c r="HZ228" s="5"/>
      <c r="IA228" s="5"/>
      <c r="IB228" s="5"/>
      <c r="IC228" s="5"/>
      <c r="ID228" s="5"/>
    </row>
    <row r="229" spans="1:239" customHeight="1" ht="13.2">
      <c r="A229" s="3" t="s">
        <v>472</v>
      </c>
      <c r="B229" s="23" t="s">
        <v>473</v>
      </c>
      <c r="C229" s="11"/>
      <c r="D229" s="3" t="s">
        <v>20</v>
      </c>
      <c r="E229" s="3">
        <v>2016</v>
      </c>
      <c r="F229" s="38">
        <v>75</v>
      </c>
      <c r="G229" s="38">
        <v>300</v>
      </c>
      <c r="H229" s="3"/>
      <c r="I229" s="78">
        <v>2022</v>
      </c>
      <c r="J229" s="40">
        <v>75</v>
      </c>
      <c r="K229" s="38">
        <v>321</v>
      </c>
      <c r="L229" s="23" t="s">
        <v>473</v>
      </c>
      <c r="M229" s="11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5"/>
      <c r="EF229" s="5"/>
      <c r="EG229" s="5"/>
      <c r="EH229" s="5"/>
      <c r="EI229" s="5"/>
      <c r="EJ229" s="5"/>
      <c r="EK229" s="5"/>
      <c r="EL229" s="5"/>
      <c r="EM229" s="5"/>
      <c r="EN229" s="5"/>
      <c r="EO229" s="5"/>
      <c r="EP229" s="5"/>
      <c r="EQ229" s="5"/>
      <c r="ER229" s="5"/>
      <c r="ES229" s="5"/>
      <c r="ET229" s="5"/>
      <c r="EU229" s="5"/>
      <c r="EV229" s="5"/>
      <c r="EW229" s="5"/>
      <c r="EX229" s="5"/>
      <c r="EY229" s="5"/>
      <c r="EZ229" s="5"/>
      <c r="FA229" s="5"/>
      <c r="FB229" s="5"/>
      <c r="FC229" s="5"/>
      <c r="FD229" s="5"/>
      <c r="FE229" s="5"/>
      <c r="FF229" s="5"/>
      <c r="FG229" s="5"/>
      <c r="FH229" s="5"/>
      <c r="FI229" s="5"/>
      <c r="FJ229" s="5"/>
      <c r="FK229" s="5"/>
      <c r="FL229" s="5"/>
      <c r="FM229" s="5"/>
      <c r="FN229" s="5"/>
      <c r="FO229" s="5"/>
      <c r="FP229" s="5"/>
      <c r="FQ229" s="5"/>
      <c r="FR229" s="5"/>
      <c r="FS229" s="5"/>
      <c r="FT229" s="5"/>
      <c r="FU229" s="5"/>
      <c r="FV229" s="5"/>
      <c r="FW229" s="5"/>
      <c r="FX229" s="5"/>
      <c r="FY229" s="5"/>
      <c r="FZ229" s="5"/>
      <c r="GA229" s="5"/>
      <c r="GB229" s="5"/>
      <c r="GC229" s="5"/>
      <c r="GD229" s="5"/>
      <c r="GE229" s="5"/>
      <c r="GF229" s="5"/>
      <c r="GG229" s="5"/>
      <c r="GH229" s="5"/>
      <c r="GI229" s="5"/>
      <c r="GJ229" s="5"/>
      <c r="GK229" s="5"/>
      <c r="GL229" s="5"/>
      <c r="GM229" s="5"/>
      <c r="GN229" s="5"/>
      <c r="GO229" s="5"/>
      <c r="GP229" s="5"/>
      <c r="GQ229" s="5"/>
      <c r="GR229" s="5"/>
      <c r="GS229" s="5"/>
      <c r="GT229" s="5"/>
      <c r="GU229" s="5"/>
      <c r="GV229" s="5"/>
      <c r="GW229" s="5"/>
      <c r="GX229" s="5"/>
      <c r="GY229" s="5"/>
      <c r="GZ229" s="5"/>
      <c r="HA229" s="5"/>
      <c r="HB229" s="5"/>
      <c r="HC229" s="5"/>
      <c r="HD229" s="5"/>
      <c r="HE229" s="5"/>
      <c r="HF229" s="5"/>
      <c r="HG229" s="5"/>
      <c r="HH229" s="5"/>
      <c r="HI229" s="5"/>
      <c r="HJ229" s="5"/>
      <c r="HK229" s="5"/>
      <c r="HL229" s="5"/>
      <c r="HM229" s="5"/>
      <c r="HN229" s="5"/>
      <c r="HO229" s="5"/>
      <c r="HP229" s="5"/>
      <c r="HQ229" s="5"/>
      <c r="HR229" s="5"/>
      <c r="HS229" s="5"/>
      <c r="HT229" s="5"/>
      <c r="HU229" s="5"/>
      <c r="HV229" s="5"/>
      <c r="HW229" s="5"/>
      <c r="HX229" s="5"/>
      <c r="HY229" s="5"/>
      <c r="HZ229" s="5"/>
      <c r="IA229" s="5"/>
      <c r="IB229" s="5"/>
      <c r="IC229" s="5"/>
      <c r="ID229" s="5"/>
    </row>
    <row r="230" spans="1:239" customHeight="1" ht="13.2">
      <c r="A230" s="3"/>
      <c r="B230" s="91" t="s">
        <v>474</v>
      </c>
      <c r="C230" s="91"/>
      <c r="D230" s="3"/>
      <c r="E230" s="15"/>
      <c r="F230" s="72">
        <f>SUM(F227:F229)</f>
        <v>775</v>
      </c>
      <c r="G230" s="72">
        <f>SUM(G227:G229)</f>
        <v>3018</v>
      </c>
      <c r="H230" s="74"/>
      <c r="I230" s="75" t="s">
        <v>43</v>
      </c>
      <c r="J230" s="72">
        <f>SUM(J227:J228)</f>
        <v>702</v>
      </c>
      <c r="K230" s="72">
        <f>SUM(K227:K229)</f>
        <v>3094</v>
      </c>
      <c r="L230" s="34" t="s">
        <v>43</v>
      </c>
      <c r="M230" s="11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/>
      <c r="DQ230" s="5"/>
      <c r="DR230" s="5"/>
      <c r="DS230" s="5"/>
      <c r="DT230" s="5"/>
      <c r="DU230" s="5"/>
      <c r="DV230" s="5"/>
      <c r="DW230" s="5"/>
      <c r="DX230" s="5"/>
      <c r="DY230" s="5"/>
      <c r="DZ230" s="5"/>
      <c r="EA230" s="5"/>
      <c r="EB230" s="5"/>
      <c r="EC230" s="5"/>
      <c r="ED230" s="5"/>
      <c r="EE230" s="5"/>
      <c r="EF230" s="5"/>
      <c r="EG230" s="5"/>
      <c r="EH230" s="5"/>
      <c r="EI230" s="5"/>
      <c r="EJ230" s="5"/>
      <c r="EK230" s="5"/>
      <c r="EL230" s="5"/>
      <c r="EM230" s="5"/>
      <c r="EN230" s="5"/>
      <c r="EO230" s="5"/>
      <c r="EP230" s="5"/>
      <c r="EQ230" s="5"/>
      <c r="ER230" s="5"/>
      <c r="ES230" s="5"/>
      <c r="ET230" s="5"/>
      <c r="EU230" s="5"/>
      <c r="EV230" s="5"/>
      <c r="EW230" s="5"/>
      <c r="EX230" s="5"/>
      <c r="EY230" s="5"/>
      <c r="EZ230" s="5"/>
      <c r="FA230" s="5"/>
      <c r="FB230" s="5"/>
      <c r="FC230" s="5"/>
      <c r="FD230" s="5"/>
      <c r="FE230" s="5"/>
      <c r="FF230" s="5"/>
      <c r="FG230" s="5"/>
      <c r="FH230" s="5"/>
      <c r="FI230" s="5"/>
      <c r="FJ230" s="5"/>
      <c r="FK230" s="5"/>
      <c r="FL230" s="5"/>
      <c r="FM230" s="5"/>
      <c r="FN230" s="5"/>
      <c r="FO230" s="5"/>
      <c r="FP230" s="5"/>
      <c r="FQ230" s="5"/>
      <c r="FR230" s="5"/>
      <c r="FS230" s="5"/>
      <c r="FT230" s="5"/>
      <c r="FU230" s="5"/>
      <c r="FV230" s="5"/>
      <c r="FW230" s="5"/>
      <c r="FX230" s="5"/>
      <c r="FY230" s="5"/>
      <c r="FZ230" s="5"/>
      <c r="GA230" s="5"/>
      <c r="GB230" s="5"/>
      <c r="GC230" s="5"/>
      <c r="GD230" s="5"/>
      <c r="GE230" s="5"/>
      <c r="GF230" s="5"/>
      <c r="GG230" s="5"/>
      <c r="GH230" s="5"/>
      <c r="GI230" s="5"/>
      <c r="GJ230" s="5"/>
      <c r="GK230" s="5"/>
      <c r="GL230" s="5"/>
      <c r="GM230" s="5"/>
      <c r="GN230" s="5"/>
      <c r="GO230" s="5"/>
      <c r="GP230" s="5"/>
      <c r="GQ230" s="5"/>
      <c r="GR230" s="5"/>
      <c r="GS230" s="5"/>
      <c r="GT230" s="5"/>
      <c r="GU230" s="5"/>
      <c r="GV230" s="5"/>
      <c r="GW230" s="5"/>
      <c r="GX230" s="5"/>
      <c r="GY230" s="5"/>
      <c r="GZ230" s="5"/>
      <c r="HA230" s="5"/>
      <c r="HB230" s="5"/>
      <c r="HC230" s="5"/>
      <c r="HD230" s="5"/>
      <c r="HE230" s="5"/>
      <c r="HF230" s="5"/>
      <c r="HG230" s="5"/>
      <c r="HH230" s="5"/>
      <c r="HI230" s="5"/>
      <c r="HJ230" s="5"/>
      <c r="HK230" s="5"/>
      <c r="HL230" s="5"/>
      <c r="HM230" s="5"/>
      <c r="HN230" s="5"/>
      <c r="HO230" s="5"/>
      <c r="HP230" s="5"/>
      <c r="HQ230" s="5"/>
      <c r="HR230" s="5"/>
      <c r="HS230" s="5"/>
      <c r="HT230" s="5"/>
      <c r="HU230" s="5"/>
      <c r="HV230" s="5"/>
      <c r="HW230" s="5"/>
      <c r="HX230" s="5"/>
      <c r="HY230" s="5"/>
      <c r="HZ230" s="5"/>
      <c r="IA230" s="5"/>
      <c r="IB230" s="5"/>
      <c r="IC230" s="5"/>
      <c r="ID230" s="5"/>
    </row>
    <row r="231" spans="1:239" customHeight="1" ht="13.2">
      <c r="A231" s="11"/>
      <c r="B231" s="11"/>
      <c r="C231" s="11"/>
      <c r="D231" s="11"/>
      <c r="E231" s="15"/>
      <c r="F231" s="39"/>
      <c r="G231" s="39"/>
      <c r="H231" s="15"/>
      <c r="I231" s="15"/>
      <c r="J231" s="39"/>
      <c r="K231" s="39"/>
      <c r="L231" s="23"/>
      <c r="M231" s="11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  <c r="EN231" s="5"/>
      <c r="EO231" s="5"/>
      <c r="EP231" s="5"/>
      <c r="EQ231" s="5"/>
      <c r="ER231" s="5"/>
      <c r="ES231" s="5"/>
      <c r="ET231" s="5"/>
      <c r="EU231" s="5"/>
      <c r="EV231" s="5"/>
      <c r="EW231" s="5"/>
      <c r="EX231" s="5"/>
      <c r="EY231" s="5"/>
      <c r="EZ231" s="5"/>
      <c r="FA231" s="5"/>
      <c r="FB231" s="5"/>
      <c r="FC231" s="5"/>
      <c r="FD231" s="5"/>
      <c r="FE231" s="5"/>
      <c r="FF231" s="5"/>
      <c r="FG231" s="5"/>
      <c r="FH231" s="5"/>
      <c r="FI231" s="5"/>
      <c r="FJ231" s="5"/>
      <c r="FK231" s="5"/>
      <c r="FL231" s="5"/>
      <c r="FM231" s="5"/>
      <c r="FN231" s="5"/>
      <c r="FO231" s="5"/>
      <c r="FP231" s="5"/>
      <c r="FQ231" s="5"/>
      <c r="FR231" s="5"/>
      <c r="FS231" s="5"/>
      <c r="FT231" s="5"/>
      <c r="FU231" s="5"/>
      <c r="FV231" s="5"/>
      <c r="FW231" s="5"/>
      <c r="FX231" s="5"/>
      <c r="FY231" s="5"/>
      <c r="FZ231" s="5"/>
      <c r="GA231" s="5"/>
      <c r="GB231" s="5"/>
      <c r="GC231" s="5"/>
      <c r="GD231" s="5"/>
      <c r="GE231" s="5"/>
      <c r="GF231" s="5"/>
      <c r="GG231" s="5"/>
      <c r="GH231" s="5"/>
      <c r="GI231" s="5"/>
      <c r="GJ231" s="5"/>
      <c r="GK231" s="5"/>
      <c r="GL231" s="5"/>
      <c r="GM231" s="5"/>
      <c r="GN231" s="5"/>
      <c r="GO231" s="5"/>
      <c r="GP231" s="5"/>
      <c r="GQ231" s="5"/>
      <c r="GR231" s="5"/>
      <c r="GS231" s="5"/>
      <c r="GT231" s="5"/>
      <c r="GU231" s="5"/>
      <c r="GV231" s="5"/>
      <c r="GW231" s="5"/>
      <c r="GX231" s="5"/>
      <c r="GY231" s="5"/>
      <c r="GZ231" s="5"/>
      <c r="HA231" s="5"/>
      <c r="HB231" s="5"/>
      <c r="HC231" s="5"/>
      <c r="HD231" s="5"/>
      <c r="HE231" s="5"/>
      <c r="HF231" s="5"/>
      <c r="HG231" s="5"/>
      <c r="HH231" s="5"/>
      <c r="HI231" s="5"/>
      <c r="HJ231" s="5"/>
      <c r="HK231" s="5"/>
      <c r="HL231" s="5"/>
      <c r="HM231" s="5"/>
      <c r="HN231" s="5"/>
      <c r="HO231" s="5"/>
      <c r="HP231" s="5"/>
      <c r="HQ231" s="5"/>
      <c r="HR231" s="5"/>
      <c r="HS231" s="5"/>
      <c r="HT231" s="5"/>
      <c r="HU231" s="5"/>
      <c r="HV231" s="5"/>
      <c r="HW231" s="5"/>
      <c r="HX231" s="5"/>
      <c r="HY231" s="5"/>
      <c r="HZ231" s="5"/>
      <c r="IA231" s="5"/>
      <c r="IB231" s="5"/>
      <c r="IC231" s="5"/>
      <c r="ID231" s="5"/>
    </row>
    <row r="232" spans="1:239" customHeight="1" ht="13.2">
      <c r="A232" s="15" t="s">
        <v>475</v>
      </c>
      <c r="B232" s="21" t="s">
        <v>476</v>
      </c>
      <c r="C232" s="11"/>
      <c r="D232" s="11"/>
      <c r="E232" s="3"/>
      <c r="F232" s="38"/>
      <c r="G232" s="38"/>
      <c r="H232" s="3"/>
      <c r="I232" s="3"/>
      <c r="J232" s="38"/>
      <c r="K232" s="38"/>
      <c r="L232" s="23"/>
      <c r="M232" s="11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/>
      <c r="EB232" s="5"/>
      <c r="EC232" s="5"/>
      <c r="ED232" s="5"/>
      <c r="EE232" s="5"/>
      <c r="EF232" s="5"/>
      <c r="EG232" s="5"/>
      <c r="EH232" s="5"/>
      <c r="EI232" s="5"/>
      <c r="EJ232" s="5"/>
      <c r="EK232" s="5"/>
      <c r="EL232" s="5"/>
      <c r="EM232" s="5"/>
      <c r="EN232" s="5"/>
      <c r="EO232" s="5"/>
      <c r="EP232" s="5"/>
      <c r="EQ232" s="5"/>
      <c r="ER232" s="5"/>
      <c r="ES232" s="5"/>
      <c r="ET232" s="5"/>
      <c r="EU232" s="5"/>
      <c r="EV232" s="5"/>
      <c r="EW232" s="5"/>
      <c r="EX232" s="5"/>
      <c r="EY232" s="5"/>
      <c r="EZ232" s="5"/>
      <c r="FA232" s="5"/>
      <c r="FB232" s="5"/>
      <c r="FC232" s="5"/>
      <c r="FD232" s="5"/>
      <c r="FE232" s="5"/>
      <c r="FF232" s="5"/>
      <c r="FG232" s="5"/>
      <c r="FH232" s="5"/>
      <c r="FI232" s="5"/>
      <c r="FJ232" s="5"/>
      <c r="FK232" s="5"/>
      <c r="FL232" s="5"/>
      <c r="FM232" s="5"/>
      <c r="FN232" s="5"/>
      <c r="FO232" s="5"/>
      <c r="FP232" s="5"/>
      <c r="FQ232" s="5"/>
      <c r="FR232" s="5"/>
      <c r="FS232" s="5"/>
      <c r="FT232" s="5"/>
      <c r="FU232" s="5"/>
      <c r="FV232" s="5"/>
      <c r="FW232" s="5"/>
      <c r="FX232" s="5"/>
      <c r="FY232" s="5"/>
      <c r="FZ232" s="5"/>
      <c r="GA232" s="5"/>
      <c r="GB232" s="5"/>
      <c r="GC232" s="5"/>
      <c r="GD232" s="5"/>
      <c r="GE232" s="5"/>
      <c r="GF232" s="5"/>
      <c r="GG232" s="5"/>
      <c r="GH232" s="5"/>
      <c r="GI232" s="5"/>
      <c r="GJ232" s="5"/>
      <c r="GK232" s="5"/>
      <c r="GL232" s="5"/>
      <c r="GM232" s="5"/>
      <c r="GN232" s="5"/>
      <c r="GO232" s="5"/>
      <c r="GP232" s="5"/>
      <c r="GQ232" s="5"/>
      <c r="GR232" s="5"/>
      <c r="GS232" s="5"/>
      <c r="GT232" s="5"/>
      <c r="GU232" s="5"/>
      <c r="GV232" s="5"/>
      <c r="GW232" s="5"/>
      <c r="GX232" s="5"/>
      <c r="GY232" s="5"/>
      <c r="GZ232" s="5"/>
      <c r="HA232" s="5"/>
      <c r="HB232" s="5"/>
      <c r="HC232" s="5"/>
      <c r="HD232" s="5"/>
      <c r="HE232" s="5"/>
      <c r="HF232" s="5"/>
      <c r="HG232" s="5"/>
      <c r="HH232" s="5"/>
      <c r="HI232" s="5"/>
      <c r="HJ232" s="5"/>
      <c r="HK232" s="5"/>
      <c r="HL232" s="5"/>
      <c r="HM232" s="5"/>
      <c r="HN232" s="5"/>
      <c r="HO232" s="5"/>
      <c r="HP232" s="5"/>
      <c r="HQ232" s="5"/>
      <c r="HR232" s="5"/>
      <c r="HS232" s="5"/>
      <c r="HT232" s="5"/>
      <c r="HU232" s="5"/>
      <c r="HV232" s="5"/>
      <c r="HW232" s="5"/>
      <c r="HX232" s="5"/>
      <c r="HY232" s="5"/>
      <c r="HZ232" s="5"/>
      <c r="IA232" s="5"/>
      <c r="IB232" s="5"/>
      <c r="IC232" s="5"/>
      <c r="ID232" s="5"/>
    </row>
    <row r="233" spans="1:239" customHeight="1" ht="13.2">
      <c r="A233" s="3" t="s">
        <v>477</v>
      </c>
      <c r="B233" s="23" t="s">
        <v>478</v>
      </c>
      <c r="C233" s="11"/>
      <c r="D233" s="3" t="s">
        <v>38</v>
      </c>
      <c r="E233" s="3" t="s">
        <v>420</v>
      </c>
      <c r="F233" s="38">
        <v>300</v>
      </c>
      <c r="G233" s="38">
        <v>1302</v>
      </c>
      <c r="H233" s="3"/>
      <c r="I233" s="3" t="s">
        <v>479</v>
      </c>
      <c r="J233" s="38">
        <v>300</v>
      </c>
      <c r="K233" s="38">
        <v>1032</v>
      </c>
      <c r="L233" s="23" t="s">
        <v>480</v>
      </c>
      <c r="M233" s="11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5"/>
      <c r="EB233" s="5"/>
      <c r="EC233" s="5"/>
      <c r="ED233" s="5"/>
      <c r="EE233" s="5"/>
      <c r="EF233" s="5"/>
      <c r="EG233" s="5"/>
      <c r="EH233" s="5"/>
      <c r="EI233" s="5"/>
      <c r="EJ233" s="5"/>
      <c r="EK233" s="5"/>
      <c r="EL233" s="5"/>
      <c r="EM233" s="5"/>
      <c r="EN233" s="5"/>
      <c r="EO233" s="5"/>
      <c r="EP233" s="5"/>
      <c r="EQ233" s="5"/>
      <c r="ER233" s="5"/>
      <c r="ES233" s="5"/>
      <c r="ET233" s="5"/>
      <c r="EU233" s="5"/>
      <c r="EV233" s="5"/>
      <c r="EW233" s="5"/>
      <c r="EX233" s="5"/>
      <c r="EY233" s="5"/>
      <c r="EZ233" s="5"/>
      <c r="FA233" s="5"/>
      <c r="FB233" s="5"/>
      <c r="FC233" s="5"/>
      <c r="FD233" s="5"/>
      <c r="FE233" s="5"/>
      <c r="FF233" s="5"/>
      <c r="FG233" s="5"/>
      <c r="FH233" s="5"/>
      <c r="FI233" s="5"/>
      <c r="FJ233" s="5"/>
      <c r="FK233" s="5"/>
      <c r="FL233" s="5"/>
      <c r="FM233" s="5"/>
      <c r="FN233" s="5"/>
      <c r="FO233" s="5"/>
      <c r="FP233" s="5"/>
      <c r="FQ233" s="5"/>
      <c r="FR233" s="5"/>
      <c r="FS233" s="5"/>
      <c r="FT233" s="5"/>
      <c r="FU233" s="5"/>
      <c r="FV233" s="5"/>
      <c r="FW233" s="5"/>
      <c r="FX233" s="5"/>
      <c r="FY233" s="5"/>
      <c r="FZ233" s="5"/>
      <c r="GA233" s="5"/>
      <c r="GB233" s="5"/>
      <c r="GC233" s="5"/>
      <c r="GD233" s="5"/>
      <c r="GE233" s="5"/>
      <c r="GF233" s="5"/>
      <c r="GG233" s="5"/>
      <c r="GH233" s="5"/>
      <c r="GI233" s="5"/>
      <c r="GJ233" s="5"/>
      <c r="GK233" s="5"/>
      <c r="GL233" s="5"/>
      <c r="GM233" s="5"/>
      <c r="GN233" s="5"/>
      <c r="GO233" s="5"/>
      <c r="GP233" s="5"/>
      <c r="GQ233" s="5"/>
      <c r="GR233" s="5"/>
      <c r="GS233" s="5"/>
      <c r="GT233" s="5"/>
      <c r="GU233" s="5"/>
      <c r="GV233" s="5"/>
      <c r="GW233" s="5"/>
      <c r="GX233" s="5"/>
      <c r="GY233" s="5"/>
      <c r="GZ233" s="5"/>
      <c r="HA233" s="5"/>
      <c r="HB233" s="5"/>
      <c r="HC233" s="5"/>
      <c r="HD233" s="5"/>
      <c r="HE233" s="5"/>
      <c r="HF233" s="5"/>
      <c r="HG233" s="5"/>
      <c r="HH233" s="5"/>
      <c r="HI233" s="5"/>
      <c r="HJ233" s="5"/>
      <c r="HK233" s="5"/>
      <c r="HL233" s="5"/>
      <c r="HM233" s="5"/>
      <c r="HN233" s="5"/>
      <c r="HO233" s="5"/>
      <c r="HP233" s="5"/>
      <c r="HQ233" s="5"/>
      <c r="HR233" s="5"/>
      <c r="HS233" s="5"/>
      <c r="HT233" s="5"/>
      <c r="HU233" s="5"/>
      <c r="HV233" s="5"/>
      <c r="HW233" s="5"/>
      <c r="HX233" s="5"/>
      <c r="HY233" s="5"/>
      <c r="HZ233" s="5"/>
      <c r="IA233" s="5"/>
      <c r="IB233" s="5"/>
      <c r="IC233" s="5"/>
      <c r="ID233" s="5"/>
    </row>
    <row r="234" spans="1:239" customHeight="1" ht="13.2">
      <c r="A234" s="3" t="s">
        <v>481</v>
      </c>
      <c r="B234" s="23" t="s">
        <v>482</v>
      </c>
      <c r="C234" s="11"/>
      <c r="D234" s="3" t="s">
        <v>38</v>
      </c>
      <c r="E234" s="3" t="s">
        <v>42</v>
      </c>
      <c r="F234" s="38">
        <v>300</v>
      </c>
      <c r="G234" s="38">
        <v>1209</v>
      </c>
      <c r="H234" s="3"/>
      <c r="I234" s="3" t="s">
        <v>479</v>
      </c>
      <c r="J234" s="38">
        <v>300</v>
      </c>
      <c r="K234" s="38">
        <v>1209</v>
      </c>
      <c r="L234" s="23" t="s">
        <v>483</v>
      </c>
      <c r="M234" s="11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5"/>
      <c r="EB234" s="5"/>
      <c r="EC234" s="5"/>
      <c r="ED234" s="5"/>
      <c r="EE234" s="5"/>
      <c r="EF234" s="5"/>
      <c r="EG234" s="5"/>
      <c r="EH234" s="5"/>
      <c r="EI234" s="5"/>
      <c r="EJ234" s="5"/>
      <c r="EK234" s="5"/>
      <c r="EL234" s="5"/>
      <c r="EM234" s="5"/>
      <c r="EN234" s="5"/>
      <c r="EO234" s="5"/>
      <c r="EP234" s="5"/>
      <c r="EQ234" s="5"/>
      <c r="ER234" s="5"/>
      <c r="ES234" s="5"/>
      <c r="ET234" s="5"/>
      <c r="EU234" s="5"/>
      <c r="EV234" s="5"/>
      <c r="EW234" s="5"/>
      <c r="EX234" s="5"/>
      <c r="EY234" s="5"/>
      <c r="EZ234" s="5"/>
      <c r="FA234" s="5"/>
      <c r="FB234" s="5"/>
      <c r="FC234" s="5"/>
      <c r="FD234" s="5"/>
      <c r="FE234" s="5"/>
      <c r="FF234" s="5"/>
      <c r="FG234" s="5"/>
      <c r="FH234" s="5"/>
      <c r="FI234" s="5"/>
      <c r="FJ234" s="5"/>
      <c r="FK234" s="5"/>
      <c r="FL234" s="5"/>
      <c r="FM234" s="5"/>
      <c r="FN234" s="5"/>
      <c r="FO234" s="5"/>
      <c r="FP234" s="5"/>
      <c r="FQ234" s="5"/>
      <c r="FR234" s="5"/>
      <c r="FS234" s="5"/>
      <c r="FT234" s="5"/>
      <c r="FU234" s="5"/>
      <c r="FV234" s="5"/>
      <c r="FW234" s="5"/>
      <c r="FX234" s="5"/>
      <c r="FY234" s="5"/>
      <c r="FZ234" s="5"/>
      <c r="GA234" s="5"/>
      <c r="GB234" s="5"/>
      <c r="GC234" s="5"/>
      <c r="GD234" s="5"/>
      <c r="GE234" s="5"/>
      <c r="GF234" s="5"/>
      <c r="GG234" s="5"/>
      <c r="GH234" s="5"/>
      <c r="GI234" s="5"/>
      <c r="GJ234" s="5"/>
      <c r="GK234" s="5"/>
      <c r="GL234" s="5"/>
      <c r="GM234" s="5"/>
      <c r="GN234" s="5"/>
      <c r="GO234" s="5"/>
      <c r="GP234" s="5"/>
      <c r="GQ234" s="5"/>
      <c r="GR234" s="5"/>
      <c r="GS234" s="5"/>
      <c r="GT234" s="5"/>
      <c r="GU234" s="5"/>
      <c r="GV234" s="5"/>
      <c r="GW234" s="5"/>
      <c r="GX234" s="5"/>
      <c r="GY234" s="5"/>
      <c r="GZ234" s="5"/>
      <c r="HA234" s="5"/>
      <c r="HB234" s="5"/>
      <c r="HC234" s="5"/>
      <c r="HD234" s="5"/>
      <c r="HE234" s="5"/>
      <c r="HF234" s="5"/>
      <c r="HG234" s="5"/>
      <c r="HH234" s="5"/>
      <c r="HI234" s="5"/>
      <c r="HJ234" s="5"/>
      <c r="HK234" s="5"/>
      <c r="HL234" s="5"/>
      <c r="HM234" s="5"/>
      <c r="HN234" s="5"/>
      <c r="HO234" s="5"/>
      <c r="HP234" s="5"/>
      <c r="HQ234" s="5"/>
      <c r="HR234" s="5"/>
      <c r="HS234" s="5"/>
      <c r="HT234" s="5"/>
      <c r="HU234" s="5"/>
      <c r="HV234" s="5"/>
      <c r="HW234" s="5"/>
      <c r="HX234" s="5"/>
      <c r="HY234" s="5"/>
      <c r="HZ234" s="5"/>
      <c r="IA234" s="5"/>
      <c r="IB234" s="5"/>
      <c r="IC234" s="5"/>
      <c r="ID234" s="5"/>
    </row>
    <row r="235" spans="1:239" customHeight="1" ht="13.2">
      <c r="A235" s="3" t="s">
        <v>484</v>
      </c>
      <c r="B235" s="23" t="s">
        <v>485</v>
      </c>
      <c r="C235" s="11"/>
      <c r="D235" s="3" t="s">
        <v>38</v>
      </c>
      <c r="E235" s="3" t="s">
        <v>47</v>
      </c>
      <c r="F235" s="38">
        <v>500</v>
      </c>
      <c r="G235" s="38">
        <v>1948</v>
      </c>
      <c r="H235" s="3"/>
      <c r="I235" s="3" t="s">
        <v>479</v>
      </c>
      <c r="J235" s="38">
        <v>500</v>
      </c>
      <c r="K235" s="38">
        <v>2010</v>
      </c>
      <c r="L235" s="23" t="s">
        <v>486</v>
      </c>
      <c r="M235" s="11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  <c r="DQ235" s="5"/>
      <c r="DR235" s="5"/>
      <c r="DS235" s="5"/>
      <c r="DT235" s="5"/>
      <c r="DU235" s="5"/>
      <c r="DV235" s="5"/>
      <c r="DW235" s="5"/>
      <c r="DX235" s="5"/>
      <c r="DY235" s="5"/>
      <c r="DZ235" s="5"/>
      <c r="EA235" s="5"/>
      <c r="EB235" s="5"/>
      <c r="EC235" s="5"/>
      <c r="ED235" s="5"/>
      <c r="EE235" s="5"/>
      <c r="EF235" s="5"/>
      <c r="EG235" s="5"/>
      <c r="EH235" s="5"/>
      <c r="EI235" s="5"/>
      <c r="EJ235" s="5"/>
      <c r="EK235" s="5"/>
      <c r="EL235" s="5"/>
      <c r="EM235" s="5"/>
      <c r="EN235" s="5"/>
      <c r="EO235" s="5"/>
      <c r="EP235" s="5"/>
      <c r="EQ235" s="5"/>
      <c r="ER235" s="5"/>
      <c r="ES235" s="5"/>
      <c r="ET235" s="5"/>
      <c r="EU235" s="5"/>
      <c r="EV235" s="5"/>
      <c r="EW235" s="5"/>
      <c r="EX235" s="5"/>
      <c r="EY235" s="5"/>
      <c r="EZ235" s="5"/>
      <c r="FA235" s="5"/>
      <c r="FB235" s="5"/>
      <c r="FC235" s="5"/>
      <c r="FD235" s="5"/>
      <c r="FE235" s="5"/>
      <c r="FF235" s="5"/>
      <c r="FG235" s="5"/>
      <c r="FH235" s="5"/>
      <c r="FI235" s="5"/>
      <c r="FJ235" s="5"/>
      <c r="FK235" s="5"/>
      <c r="FL235" s="5"/>
      <c r="FM235" s="5"/>
      <c r="FN235" s="5"/>
      <c r="FO235" s="5"/>
      <c r="FP235" s="5"/>
      <c r="FQ235" s="5"/>
      <c r="FR235" s="5"/>
      <c r="FS235" s="5"/>
      <c r="FT235" s="5"/>
      <c r="FU235" s="5"/>
      <c r="FV235" s="5"/>
      <c r="FW235" s="5"/>
      <c r="FX235" s="5"/>
      <c r="FY235" s="5"/>
      <c r="FZ235" s="5"/>
      <c r="GA235" s="5"/>
      <c r="GB235" s="5"/>
      <c r="GC235" s="5"/>
      <c r="GD235" s="5"/>
      <c r="GE235" s="5"/>
      <c r="GF235" s="5"/>
      <c r="GG235" s="5"/>
      <c r="GH235" s="5"/>
      <c r="GI235" s="5"/>
      <c r="GJ235" s="5"/>
      <c r="GK235" s="5"/>
      <c r="GL235" s="5"/>
      <c r="GM235" s="5"/>
      <c r="GN235" s="5"/>
      <c r="GO235" s="5"/>
      <c r="GP235" s="5"/>
      <c r="GQ235" s="5"/>
      <c r="GR235" s="5"/>
      <c r="GS235" s="5"/>
      <c r="GT235" s="5"/>
      <c r="GU235" s="5"/>
      <c r="GV235" s="5"/>
      <c r="GW235" s="5"/>
      <c r="GX235" s="5"/>
      <c r="GY235" s="5"/>
      <c r="GZ235" s="5"/>
      <c r="HA235" s="5"/>
      <c r="HB235" s="5"/>
      <c r="HC235" s="5"/>
      <c r="HD235" s="5"/>
      <c r="HE235" s="5"/>
      <c r="HF235" s="5"/>
      <c r="HG235" s="5"/>
      <c r="HH235" s="5"/>
      <c r="HI235" s="5"/>
      <c r="HJ235" s="5"/>
      <c r="HK235" s="5"/>
      <c r="HL235" s="5"/>
      <c r="HM235" s="5"/>
      <c r="HN235" s="5"/>
      <c r="HO235" s="5"/>
      <c r="HP235" s="5"/>
      <c r="HQ235" s="5"/>
      <c r="HR235" s="5"/>
      <c r="HS235" s="5"/>
      <c r="HT235" s="5"/>
      <c r="HU235" s="5"/>
      <c r="HV235" s="5"/>
      <c r="HW235" s="5"/>
      <c r="HX235" s="5"/>
      <c r="HY235" s="5"/>
      <c r="HZ235" s="5"/>
      <c r="IA235" s="5"/>
      <c r="IB235" s="5"/>
      <c r="IC235" s="5"/>
      <c r="ID235" s="5"/>
    </row>
    <row r="236" spans="1:239" customHeight="1" ht="13.2">
      <c r="A236" s="3" t="s">
        <v>487</v>
      </c>
      <c r="B236" s="23" t="s">
        <v>488</v>
      </c>
      <c r="C236" s="11"/>
      <c r="D236" s="3" t="s">
        <v>38</v>
      </c>
      <c r="E236" s="3" t="s">
        <v>42</v>
      </c>
      <c r="F236" s="38">
        <v>300</v>
      </c>
      <c r="G236" s="38">
        <v>1179</v>
      </c>
      <c r="H236" s="3"/>
      <c r="I236" s="30" t="s">
        <v>43</v>
      </c>
      <c r="J236" s="38">
        <v>300</v>
      </c>
      <c r="K236" s="38">
        <v>1179</v>
      </c>
      <c r="L236" s="34" t="s">
        <v>43</v>
      </c>
      <c r="M236" s="11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  <c r="DQ236" s="5"/>
      <c r="DR236" s="5"/>
      <c r="DS236" s="5"/>
      <c r="DT236" s="5"/>
      <c r="DU236" s="5"/>
      <c r="DV236" s="5"/>
      <c r="DW236" s="5"/>
      <c r="DX236" s="5"/>
      <c r="DY236" s="5"/>
      <c r="DZ236" s="5"/>
      <c r="EA236" s="5"/>
      <c r="EB236" s="5"/>
      <c r="EC236" s="5"/>
      <c r="ED236" s="5"/>
      <c r="EE236" s="5"/>
      <c r="EF236" s="5"/>
      <c r="EG236" s="5"/>
      <c r="EH236" s="5"/>
      <c r="EI236" s="5"/>
      <c r="EJ236" s="5"/>
      <c r="EK236" s="5"/>
      <c r="EL236" s="5"/>
      <c r="EM236" s="5"/>
      <c r="EN236" s="5"/>
      <c r="EO236" s="5"/>
      <c r="EP236" s="5"/>
      <c r="EQ236" s="5"/>
      <c r="ER236" s="5"/>
      <c r="ES236" s="5"/>
      <c r="ET236" s="5"/>
      <c r="EU236" s="5"/>
      <c r="EV236" s="5"/>
      <c r="EW236" s="5"/>
      <c r="EX236" s="5"/>
      <c r="EY236" s="5"/>
      <c r="EZ236" s="5"/>
      <c r="FA236" s="5"/>
      <c r="FB236" s="5"/>
      <c r="FC236" s="5"/>
      <c r="FD236" s="5"/>
      <c r="FE236" s="5"/>
      <c r="FF236" s="5"/>
      <c r="FG236" s="5"/>
      <c r="FH236" s="5"/>
      <c r="FI236" s="5"/>
      <c r="FJ236" s="5"/>
      <c r="FK236" s="5"/>
      <c r="FL236" s="5"/>
      <c r="FM236" s="5"/>
      <c r="FN236" s="5"/>
      <c r="FO236" s="5"/>
      <c r="FP236" s="5"/>
      <c r="FQ236" s="5"/>
      <c r="FR236" s="5"/>
      <c r="FS236" s="5"/>
      <c r="FT236" s="5"/>
      <c r="FU236" s="5"/>
      <c r="FV236" s="5"/>
      <c r="FW236" s="5"/>
      <c r="FX236" s="5"/>
      <c r="FY236" s="5"/>
      <c r="FZ236" s="5"/>
      <c r="GA236" s="5"/>
      <c r="GB236" s="5"/>
      <c r="GC236" s="5"/>
      <c r="GD236" s="5"/>
      <c r="GE236" s="5"/>
      <c r="GF236" s="5"/>
      <c r="GG236" s="5"/>
      <c r="GH236" s="5"/>
      <c r="GI236" s="5"/>
      <c r="GJ236" s="5"/>
      <c r="GK236" s="5"/>
      <c r="GL236" s="5"/>
      <c r="GM236" s="5"/>
      <c r="GN236" s="5"/>
      <c r="GO236" s="5"/>
      <c r="GP236" s="5"/>
      <c r="GQ236" s="5"/>
      <c r="GR236" s="5"/>
      <c r="GS236" s="5"/>
      <c r="GT236" s="5"/>
      <c r="GU236" s="5"/>
      <c r="GV236" s="5"/>
      <c r="GW236" s="5"/>
      <c r="GX236" s="5"/>
      <c r="GY236" s="5"/>
      <c r="GZ236" s="5"/>
      <c r="HA236" s="5"/>
      <c r="HB236" s="5"/>
      <c r="HC236" s="5"/>
      <c r="HD236" s="5"/>
      <c r="HE236" s="5"/>
      <c r="HF236" s="5"/>
      <c r="HG236" s="5"/>
      <c r="HH236" s="5"/>
      <c r="HI236" s="5"/>
      <c r="HJ236" s="5"/>
      <c r="HK236" s="5"/>
      <c r="HL236" s="5"/>
      <c r="HM236" s="5"/>
      <c r="HN236" s="5"/>
      <c r="HO236" s="5"/>
      <c r="HP236" s="5"/>
      <c r="HQ236" s="5"/>
      <c r="HR236" s="5"/>
      <c r="HS236" s="5"/>
      <c r="HT236" s="5"/>
      <c r="HU236" s="5"/>
      <c r="HV236" s="5"/>
      <c r="HW236" s="5"/>
      <c r="HX236" s="5"/>
      <c r="HY236" s="5"/>
      <c r="HZ236" s="5"/>
      <c r="IA236" s="5"/>
      <c r="IB236" s="5"/>
      <c r="IC236" s="5"/>
      <c r="ID236" s="5"/>
    </row>
    <row r="237" spans="1:239" customHeight="1" ht="13.2">
      <c r="A237" s="3" t="s">
        <v>489</v>
      </c>
      <c r="B237" s="23" t="s">
        <v>490</v>
      </c>
      <c r="C237" s="11"/>
      <c r="D237" s="3" t="s">
        <v>38</v>
      </c>
      <c r="E237" s="3" t="s">
        <v>225</v>
      </c>
      <c r="F237" s="38">
        <v>245</v>
      </c>
      <c r="G237" s="38">
        <v>987</v>
      </c>
      <c r="H237" s="3"/>
      <c r="I237" s="78" t="s">
        <v>491</v>
      </c>
      <c r="J237" s="38">
        <v>245</v>
      </c>
      <c r="K237" s="38">
        <v>1317</v>
      </c>
      <c r="L237" s="34" t="s">
        <v>43</v>
      </c>
      <c r="M237" s="11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  <c r="DQ237" s="5"/>
      <c r="DR237" s="5"/>
      <c r="DS237" s="5"/>
      <c r="DT237" s="5"/>
      <c r="DU237" s="5"/>
      <c r="DV237" s="5"/>
      <c r="DW237" s="5"/>
      <c r="DX237" s="5"/>
      <c r="DY237" s="5"/>
      <c r="DZ237" s="5"/>
      <c r="EA237" s="5"/>
      <c r="EB237" s="5"/>
      <c r="EC237" s="5"/>
      <c r="ED237" s="5"/>
      <c r="EE237" s="5"/>
      <c r="EF237" s="5"/>
      <c r="EG237" s="5"/>
      <c r="EH237" s="5"/>
      <c r="EI237" s="5"/>
      <c r="EJ237" s="5"/>
      <c r="EK237" s="5"/>
      <c r="EL237" s="5"/>
      <c r="EM237" s="5"/>
      <c r="EN237" s="5"/>
      <c r="EO237" s="5"/>
      <c r="EP237" s="5"/>
      <c r="EQ237" s="5"/>
      <c r="ER237" s="5"/>
      <c r="ES237" s="5"/>
      <c r="ET237" s="5"/>
      <c r="EU237" s="5"/>
      <c r="EV237" s="5"/>
      <c r="EW237" s="5"/>
      <c r="EX237" s="5"/>
      <c r="EY237" s="5"/>
      <c r="EZ237" s="5"/>
      <c r="FA237" s="5"/>
      <c r="FB237" s="5"/>
      <c r="FC237" s="5"/>
      <c r="FD237" s="5"/>
      <c r="FE237" s="5"/>
      <c r="FF237" s="5"/>
      <c r="FG237" s="5"/>
      <c r="FH237" s="5"/>
      <c r="FI237" s="5"/>
      <c r="FJ237" s="5"/>
      <c r="FK237" s="5"/>
      <c r="FL237" s="5"/>
      <c r="FM237" s="5"/>
      <c r="FN237" s="5"/>
      <c r="FO237" s="5"/>
      <c r="FP237" s="5"/>
      <c r="FQ237" s="5"/>
      <c r="FR237" s="5"/>
      <c r="FS237" s="5"/>
      <c r="FT237" s="5"/>
      <c r="FU237" s="5"/>
      <c r="FV237" s="5"/>
      <c r="FW237" s="5"/>
      <c r="FX237" s="5"/>
      <c r="FY237" s="5"/>
      <c r="FZ237" s="5"/>
      <c r="GA237" s="5"/>
      <c r="GB237" s="5"/>
      <c r="GC237" s="5"/>
      <c r="GD237" s="5"/>
      <c r="GE237" s="5"/>
      <c r="GF237" s="5"/>
      <c r="GG237" s="5"/>
      <c r="GH237" s="5"/>
      <c r="GI237" s="5"/>
      <c r="GJ237" s="5"/>
      <c r="GK237" s="5"/>
      <c r="GL237" s="5"/>
      <c r="GM237" s="5"/>
      <c r="GN237" s="5"/>
      <c r="GO237" s="5"/>
      <c r="GP237" s="5"/>
      <c r="GQ237" s="5"/>
      <c r="GR237" s="5"/>
      <c r="GS237" s="5"/>
      <c r="GT237" s="5"/>
      <c r="GU237" s="5"/>
      <c r="GV237" s="5"/>
      <c r="GW237" s="5"/>
      <c r="GX237" s="5"/>
      <c r="GY237" s="5"/>
      <c r="GZ237" s="5"/>
      <c r="HA237" s="5"/>
      <c r="HB237" s="5"/>
      <c r="HC237" s="5"/>
      <c r="HD237" s="5"/>
      <c r="HE237" s="5"/>
      <c r="HF237" s="5"/>
      <c r="HG237" s="5"/>
      <c r="HH237" s="5"/>
      <c r="HI237" s="5"/>
      <c r="HJ237" s="5"/>
      <c r="HK237" s="5"/>
      <c r="HL237" s="5"/>
      <c r="HM237" s="5"/>
      <c r="HN237" s="5"/>
      <c r="HO237" s="5"/>
      <c r="HP237" s="5"/>
      <c r="HQ237" s="5"/>
      <c r="HR237" s="5"/>
      <c r="HS237" s="5"/>
      <c r="HT237" s="5"/>
      <c r="HU237" s="5"/>
      <c r="HV237" s="5"/>
      <c r="HW237" s="5"/>
      <c r="HX237" s="5"/>
      <c r="HY237" s="5"/>
      <c r="HZ237" s="5"/>
      <c r="IA237" s="5"/>
      <c r="IB237" s="5"/>
      <c r="IC237" s="5"/>
      <c r="ID237" s="5"/>
    </row>
    <row r="238" spans="1:239" customHeight="1" ht="13.2">
      <c r="A238" s="3" t="s">
        <v>492</v>
      </c>
      <c r="B238" s="23" t="s">
        <v>493</v>
      </c>
      <c r="C238" s="11"/>
      <c r="D238" s="3" t="s">
        <v>494</v>
      </c>
      <c r="E238" s="3" t="s">
        <v>42</v>
      </c>
      <c r="F238" s="38">
        <v>300</v>
      </c>
      <c r="G238" s="38">
        <v>991</v>
      </c>
      <c r="H238" s="3"/>
      <c r="I238" s="3" t="s">
        <v>479</v>
      </c>
      <c r="J238" s="38">
        <v>300</v>
      </c>
      <c r="K238" s="38">
        <v>991</v>
      </c>
      <c r="L238" s="23" t="s">
        <v>495</v>
      </c>
      <c r="M238" s="11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5"/>
      <c r="DN238" s="5"/>
      <c r="DO238" s="5"/>
      <c r="DP238" s="5"/>
      <c r="DQ238" s="5"/>
      <c r="DR238" s="5"/>
      <c r="DS238" s="5"/>
      <c r="DT238" s="5"/>
      <c r="DU238" s="5"/>
      <c r="DV238" s="5"/>
      <c r="DW238" s="5"/>
      <c r="DX238" s="5"/>
      <c r="DY238" s="5"/>
      <c r="DZ238" s="5"/>
      <c r="EA238" s="5"/>
      <c r="EB238" s="5"/>
      <c r="EC238" s="5"/>
      <c r="ED238" s="5"/>
      <c r="EE238" s="5"/>
      <c r="EF238" s="5"/>
      <c r="EG238" s="5"/>
      <c r="EH238" s="5"/>
      <c r="EI238" s="5"/>
      <c r="EJ238" s="5"/>
      <c r="EK238" s="5"/>
      <c r="EL238" s="5"/>
      <c r="EM238" s="5"/>
      <c r="EN238" s="5"/>
      <c r="EO238" s="5"/>
      <c r="EP238" s="5"/>
      <c r="EQ238" s="5"/>
      <c r="ER238" s="5"/>
      <c r="ES238" s="5"/>
      <c r="ET238" s="5"/>
      <c r="EU238" s="5"/>
      <c r="EV238" s="5"/>
      <c r="EW238" s="5"/>
      <c r="EX238" s="5"/>
      <c r="EY238" s="5"/>
      <c r="EZ238" s="5"/>
      <c r="FA238" s="5"/>
      <c r="FB238" s="5"/>
      <c r="FC238" s="5"/>
      <c r="FD238" s="5"/>
      <c r="FE238" s="5"/>
      <c r="FF238" s="5"/>
      <c r="FG238" s="5"/>
      <c r="FH238" s="5"/>
      <c r="FI238" s="5"/>
      <c r="FJ238" s="5"/>
      <c r="FK238" s="5"/>
      <c r="FL238" s="5"/>
      <c r="FM238" s="5"/>
      <c r="FN238" s="5"/>
      <c r="FO238" s="5"/>
      <c r="FP238" s="5"/>
      <c r="FQ238" s="5"/>
      <c r="FR238" s="5"/>
      <c r="FS238" s="5"/>
      <c r="FT238" s="5"/>
      <c r="FU238" s="5"/>
      <c r="FV238" s="5"/>
      <c r="FW238" s="5"/>
      <c r="FX238" s="5"/>
      <c r="FY238" s="5"/>
      <c r="FZ238" s="5"/>
      <c r="GA238" s="5"/>
      <c r="GB238" s="5"/>
      <c r="GC238" s="5"/>
      <c r="GD238" s="5"/>
      <c r="GE238" s="5"/>
      <c r="GF238" s="5"/>
      <c r="GG238" s="5"/>
      <c r="GH238" s="5"/>
      <c r="GI238" s="5"/>
      <c r="GJ238" s="5"/>
      <c r="GK238" s="5"/>
      <c r="GL238" s="5"/>
      <c r="GM238" s="5"/>
      <c r="GN238" s="5"/>
      <c r="GO238" s="5"/>
      <c r="GP238" s="5"/>
      <c r="GQ238" s="5"/>
      <c r="GR238" s="5"/>
      <c r="GS238" s="5"/>
      <c r="GT238" s="5"/>
      <c r="GU238" s="5"/>
      <c r="GV238" s="5"/>
      <c r="GW238" s="5"/>
      <c r="GX238" s="5"/>
      <c r="GY238" s="5"/>
      <c r="GZ238" s="5"/>
      <c r="HA238" s="5"/>
      <c r="HB238" s="5"/>
      <c r="HC238" s="5"/>
      <c r="HD238" s="5"/>
      <c r="HE238" s="5"/>
      <c r="HF238" s="5"/>
      <c r="HG238" s="5"/>
      <c r="HH238" s="5"/>
      <c r="HI238" s="5"/>
      <c r="HJ238" s="5"/>
      <c r="HK238" s="5"/>
      <c r="HL238" s="5"/>
      <c r="HM238" s="5"/>
      <c r="HN238" s="5"/>
      <c r="HO238" s="5"/>
      <c r="HP238" s="5"/>
      <c r="HQ238" s="5"/>
      <c r="HR238" s="5"/>
      <c r="HS238" s="5"/>
      <c r="HT238" s="5"/>
      <c r="HU238" s="5"/>
      <c r="HV238" s="5"/>
      <c r="HW238" s="5"/>
      <c r="HX238" s="5"/>
      <c r="HY238" s="5"/>
      <c r="HZ238" s="5"/>
      <c r="IA238" s="5"/>
      <c r="IB238" s="5"/>
      <c r="IC238" s="5"/>
      <c r="ID238" s="5"/>
    </row>
    <row r="239" spans="1:239" customHeight="1" ht="13.2">
      <c r="A239" s="3" t="s">
        <v>496</v>
      </c>
      <c r="B239" s="23" t="s">
        <v>497</v>
      </c>
      <c r="C239" s="11"/>
      <c r="D239" s="3" t="s">
        <v>38</v>
      </c>
      <c r="E239" s="3" t="s">
        <v>47</v>
      </c>
      <c r="F239" s="38">
        <v>350</v>
      </c>
      <c r="G239" s="38">
        <v>1378</v>
      </c>
      <c r="H239" s="3"/>
      <c r="I239" s="3" t="s">
        <v>498</v>
      </c>
      <c r="J239" s="38">
        <v>350</v>
      </c>
      <c r="K239" s="38">
        <v>1395</v>
      </c>
      <c r="L239" s="34" t="s">
        <v>43</v>
      </c>
      <c r="M239" s="11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  <c r="DQ239" s="5"/>
      <c r="DR239" s="5"/>
      <c r="DS239" s="5"/>
      <c r="DT239" s="5"/>
      <c r="DU239" s="5"/>
      <c r="DV239" s="5"/>
      <c r="DW239" s="5"/>
      <c r="DX239" s="5"/>
      <c r="DY239" s="5"/>
      <c r="DZ239" s="5"/>
      <c r="EA239" s="5"/>
      <c r="EB239" s="5"/>
      <c r="EC239" s="5"/>
      <c r="ED239" s="5"/>
      <c r="EE239" s="5"/>
      <c r="EF239" s="5"/>
      <c r="EG239" s="5"/>
      <c r="EH239" s="5"/>
      <c r="EI239" s="5"/>
      <c r="EJ239" s="5"/>
      <c r="EK239" s="5"/>
      <c r="EL239" s="5"/>
      <c r="EM239" s="5"/>
      <c r="EN239" s="5"/>
      <c r="EO239" s="5"/>
      <c r="EP239" s="5"/>
      <c r="EQ239" s="5"/>
      <c r="ER239" s="5"/>
      <c r="ES239" s="5"/>
      <c r="ET239" s="5"/>
      <c r="EU239" s="5"/>
      <c r="EV239" s="5"/>
      <c r="EW239" s="5"/>
      <c r="EX239" s="5"/>
      <c r="EY239" s="5"/>
      <c r="EZ239" s="5"/>
      <c r="FA239" s="5"/>
      <c r="FB239" s="5"/>
      <c r="FC239" s="5"/>
      <c r="FD239" s="5"/>
      <c r="FE239" s="5"/>
      <c r="FF239" s="5"/>
      <c r="FG239" s="5"/>
      <c r="FH239" s="5"/>
      <c r="FI239" s="5"/>
      <c r="FJ239" s="5"/>
      <c r="FK239" s="5"/>
      <c r="FL239" s="5"/>
      <c r="FM239" s="5"/>
      <c r="FN239" s="5"/>
      <c r="FO239" s="5"/>
      <c r="FP239" s="5"/>
      <c r="FQ239" s="5"/>
      <c r="FR239" s="5"/>
      <c r="FS239" s="5"/>
      <c r="FT239" s="5"/>
      <c r="FU239" s="5"/>
      <c r="FV239" s="5"/>
      <c r="FW239" s="5"/>
      <c r="FX239" s="5"/>
      <c r="FY239" s="5"/>
      <c r="FZ239" s="5"/>
      <c r="GA239" s="5"/>
      <c r="GB239" s="5"/>
      <c r="GC239" s="5"/>
      <c r="GD239" s="5"/>
      <c r="GE239" s="5"/>
      <c r="GF239" s="5"/>
      <c r="GG239" s="5"/>
      <c r="GH239" s="5"/>
      <c r="GI239" s="5"/>
      <c r="GJ239" s="5"/>
      <c r="GK239" s="5"/>
      <c r="GL239" s="5"/>
      <c r="GM239" s="5"/>
      <c r="GN239" s="5"/>
      <c r="GO239" s="5"/>
      <c r="GP239" s="5"/>
      <c r="GQ239" s="5"/>
      <c r="GR239" s="5"/>
      <c r="GS239" s="5"/>
      <c r="GT239" s="5"/>
      <c r="GU239" s="5"/>
      <c r="GV239" s="5"/>
      <c r="GW239" s="5"/>
      <c r="GX239" s="5"/>
      <c r="GY239" s="5"/>
      <c r="GZ239" s="5"/>
      <c r="HA239" s="5"/>
      <c r="HB239" s="5"/>
      <c r="HC239" s="5"/>
      <c r="HD239" s="5"/>
      <c r="HE239" s="5"/>
      <c r="HF239" s="5"/>
      <c r="HG239" s="5"/>
      <c r="HH239" s="5"/>
      <c r="HI239" s="5"/>
      <c r="HJ239" s="5"/>
      <c r="HK239" s="5"/>
      <c r="HL239" s="5"/>
      <c r="HM239" s="5"/>
      <c r="HN239" s="5"/>
      <c r="HO239" s="5"/>
      <c r="HP239" s="5"/>
      <c r="HQ239" s="5"/>
      <c r="HR239" s="5"/>
      <c r="HS239" s="5"/>
      <c r="HT239" s="5"/>
      <c r="HU239" s="5"/>
      <c r="HV239" s="5"/>
      <c r="HW239" s="5"/>
      <c r="HX239" s="5"/>
      <c r="HY239" s="5"/>
      <c r="HZ239" s="5"/>
      <c r="IA239" s="5"/>
      <c r="IB239" s="5"/>
      <c r="IC239" s="5"/>
      <c r="ID239" s="5"/>
    </row>
    <row r="240" spans="1:239" customHeight="1" ht="13.2">
      <c r="A240" s="3" t="s">
        <v>499</v>
      </c>
      <c r="B240" s="23" t="s">
        <v>500</v>
      </c>
      <c r="C240" s="11"/>
      <c r="D240" s="3" t="s">
        <v>38</v>
      </c>
      <c r="E240" s="3" t="s">
        <v>50</v>
      </c>
      <c r="F240" s="38">
        <v>250</v>
      </c>
      <c r="G240" s="38">
        <v>922</v>
      </c>
      <c r="H240" s="3"/>
      <c r="I240" s="3" t="s">
        <v>498</v>
      </c>
      <c r="J240" s="38">
        <v>250</v>
      </c>
      <c r="K240" s="38">
        <v>935</v>
      </c>
      <c r="L240" s="34"/>
      <c r="M240" s="11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  <c r="DQ240" s="5"/>
      <c r="DR240" s="5"/>
      <c r="DS240" s="5"/>
      <c r="DT240" s="5"/>
      <c r="DU240" s="5"/>
      <c r="DV240" s="5"/>
      <c r="DW240" s="5"/>
      <c r="DX240" s="5"/>
      <c r="DY240" s="5"/>
      <c r="DZ240" s="5"/>
      <c r="EA240" s="5"/>
      <c r="EB240" s="5"/>
      <c r="EC240" s="5"/>
      <c r="ED240" s="5"/>
      <c r="EE240" s="5"/>
      <c r="EF240" s="5"/>
      <c r="EG240" s="5"/>
      <c r="EH240" s="5"/>
      <c r="EI240" s="5"/>
      <c r="EJ240" s="5"/>
      <c r="EK240" s="5"/>
      <c r="EL240" s="5"/>
      <c r="EM240" s="5"/>
      <c r="EN240" s="5"/>
      <c r="EO240" s="5"/>
      <c r="EP240" s="5"/>
      <c r="EQ240" s="5"/>
      <c r="ER240" s="5"/>
      <c r="ES240" s="5"/>
      <c r="ET240" s="5"/>
      <c r="EU240" s="5"/>
      <c r="EV240" s="5"/>
      <c r="EW240" s="5"/>
      <c r="EX240" s="5"/>
      <c r="EY240" s="5"/>
      <c r="EZ240" s="5"/>
      <c r="FA240" s="5"/>
      <c r="FB240" s="5"/>
      <c r="FC240" s="5"/>
      <c r="FD240" s="5"/>
      <c r="FE240" s="5"/>
      <c r="FF240" s="5"/>
      <c r="FG240" s="5"/>
      <c r="FH240" s="5"/>
      <c r="FI240" s="5"/>
      <c r="FJ240" s="5"/>
      <c r="FK240" s="5"/>
      <c r="FL240" s="5"/>
      <c r="FM240" s="5"/>
      <c r="FN240" s="5"/>
      <c r="FO240" s="5"/>
      <c r="FP240" s="5"/>
      <c r="FQ240" s="5"/>
      <c r="FR240" s="5"/>
      <c r="FS240" s="5"/>
      <c r="FT240" s="5"/>
      <c r="FU240" s="5"/>
      <c r="FV240" s="5"/>
      <c r="FW240" s="5"/>
      <c r="FX240" s="5"/>
      <c r="FY240" s="5"/>
      <c r="FZ240" s="5"/>
      <c r="GA240" s="5"/>
      <c r="GB240" s="5"/>
      <c r="GC240" s="5"/>
      <c r="GD240" s="5"/>
      <c r="GE240" s="5"/>
      <c r="GF240" s="5"/>
      <c r="GG240" s="5"/>
      <c r="GH240" s="5"/>
      <c r="GI240" s="5"/>
      <c r="GJ240" s="5"/>
      <c r="GK240" s="5"/>
      <c r="GL240" s="5"/>
      <c r="GM240" s="5"/>
      <c r="GN240" s="5"/>
      <c r="GO240" s="5"/>
      <c r="GP240" s="5"/>
      <c r="GQ240" s="5"/>
      <c r="GR240" s="5"/>
      <c r="GS240" s="5"/>
      <c r="GT240" s="5"/>
      <c r="GU240" s="5"/>
      <c r="GV240" s="5"/>
      <c r="GW240" s="5"/>
      <c r="GX240" s="5"/>
      <c r="GY240" s="5"/>
      <c r="GZ240" s="5"/>
      <c r="HA240" s="5"/>
      <c r="HB240" s="5"/>
      <c r="HC240" s="5"/>
      <c r="HD240" s="5"/>
      <c r="HE240" s="5"/>
      <c r="HF240" s="5"/>
      <c r="HG240" s="5"/>
      <c r="HH240" s="5"/>
      <c r="HI240" s="5"/>
      <c r="HJ240" s="5"/>
      <c r="HK240" s="5"/>
      <c r="HL240" s="5"/>
      <c r="HM240" s="5"/>
      <c r="HN240" s="5"/>
      <c r="HO240" s="5"/>
      <c r="HP240" s="5"/>
      <c r="HQ240" s="5"/>
      <c r="HR240" s="5"/>
      <c r="HS240" s="5"/>
      <c r="HT240" s="5"/>
      <c r="HU240" s="5"/>
      <c r="HV240" s="5"/>
      <c r="HW240" s="5"/>
      <c r="HX240" s="5"/>
      <c r="HY240" s="5"/>
      <c r="HZ240" s="5"/>
      <c r="IA240" s="5"/>
      <c r="IB240" s="5"/>
      <c r="IC240" s="5"/>
      <c r="ID240" s="5"/>
    </row>
    <row r="241" spans="1:239" customHeight="1" ht="13.2">
      <c r="A241" s="3" t="s">
        <v>501</v>
      </c>
      <c r="B241" s="23" t="s">
        <v>502</v>
      </c>
      <c r="C241" s="11"/>
      <c r="D241" s="3" t="s">
        <v>38</v>
      </c>
      <c r="E241" s="3" t="s">
        <v>50</v>
      </c>
      <c r="F241" s="38">
        <v>350</v>
      </c>
      <c r="G241" s="38">
        <v>1309</v>
      </c>
      <c r="H241" s="3"/>
      <c r="I241" s="3">
        <v>2002</v>
      </c>
      <c r="J241" s="41">
        <v>350</v>
      </c>
      <c r="K241" s="38">
        <v>1309</v>
      </c>
      <c r="L241" s="34" t="s">
        <v>43</v>
      </c>
      <c r="M241" s="11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L241" s="5"/>
      <c r="DM241" s="5"/>
      <c r="DN241" s="5"/>
      <c r="DO241" s="5"/>
      <c r="DP241" s="5"/>
      <c r="DQ241" s="5"/>
      <c r="DR241" s="5"/>
      <c r="DS241" s="5"/>
      <c r="DT241" s="5"/>
      <c r="DU241" s="5"/>
      <c r="DV241" s="5"/>
      <c r="DW241" s="5"/>
      <c r="DX241" s="5"/>
      <c r="DY241" s="5"/>
      <c r="DZ241" s="5"/>
      <c r="EA241" s="5"/>
      <c r="EB241" s="5"/>
      <c r="EC241" s="5"/>
      <c r="ED241" s="5"/>
      <c r="EE241" s="5"/>
      <c r="EF241" s="5"/>
      <c r="EG241" s="5"/>
      <c r="EH241" s="5"/>
      <c r="EI241" s="5"/>
      <c r="EJ241" s="5"/>
      <c r="EK241" s="5"/>
      <c r="EL241" s="5"/>
      <c r="EM241" s="5"/>
      <c r="EN241" s="5"/>
      <c r="EO241" s="5"/>
      <c r="EP241" s="5"/>
      <c r="EQ241" s="5"/>
      <c r="ER241" s="5"/>
      <c r="ES241" s="5"/>
      <c r="ET241" s="5"/>
      <c r="EU241" s="5"/>
      <c r="EV241" s="5"/>
      <c r="EW241" s="5"/>
      <c r="EX241" s="5"/>
      <c r="EY241" s="5"/>
      <c r="EZ241" s="5"/>
      <c r="FA241" s="5"/>
      <c r="FB241" s="5"/>
      <c r="FC241" s="5"/>
      <c r="FD241" s="5"/>
      <c r="FE241" s="5"/>
      <c r="FF241" s="5"/>
      <c r="FG241" s="5"/>
      <c r="FH241" s="5"/>
      <c r="FI241" s="5"/>
      <c r="FJ241" s="5"/>
      <c r="FK241" s="5"/>
      <c r="FL241" s="5"/>
      <c r="FM241" s="5"/>
      <c r="FN241" s="5"/>
      <c r="FO241" s="5"/>
      <c r="FP241" s="5"/>
      <c r="FQ241" s="5"/>
      <c r="FR241" s="5"/>
      <c r="FS241" s="5"/>
      <c r="FT241" s="5"/>
      <c r="FU241" s="5"/>
      <c r="FV241" s="5"/>
      <c r="FW241" s="5"/>
      <c r="FX241" s="5"/>
      <c r="FY241" s="5"/>
      <c r="FZ241" s="5"/>
      <c r="GA241" s="5"/>
      <c r="GB241" s="5"/>
      <c r="GC241" s="5"/>
      <c r="GD241" s="5"/>
      <c r="GE241" s="5"/>
      <c r="GF241" s="5"/>
      <c r="GG241" s="5"/>
      <c r="GH241" s="5"/>
      <c r="GI241" s="5"/>
      <c r="GJ241" s="5"/>
      <c r="GK241" s="5"/>
      <c r="GL241" s="5"/>
      <c r="GM241" s="5"/>
      <c r="GN241" s="5"/>
      <c r="GO241" s="5"/>
      <c r="GP241" s="5"/>
      <c r="GQ241" s="5"/>
      <c r="GR241" s="5"/>
      <c r="GS241" s="5"/>
      <c r="GT241" s="5"/>
      <c r="GU241" s="5"/>
      <c r="GV241" s="5"/>
      <c r="GW241" s="5"/>
      <c r="GX241" s="5"/>
      <c r="GY241" s="5"/>
      <c r="GZ241" s="5"/>
      <c r="HA241" s="5"/>
      <c r="HB241" s="5"/>
      <c r="HC241" s="5"/>
      <c r="HD241" s="5"/>
      <c r="HE241" s="5"/>
      <c r="HF241" s="5"/>
      <c r="HG241" s="5"/>
      <c r="HH241" s="5"/>
      <c r="HI241" s="5"/>
      <c r="HJ241" s="5"/>
      <c r="HK241" s="5"/>
      <c r="HL241" s="5"/>
      <c r="HM241" s="5"/>
      <c r="HN241" s="5"/>
      <c r="HO241" s="5"/>
      <c r="HP241" s="5"/>
      <c r="HQ241" s="5"/>
      <c r="HR241" s="5"/>
      <c r="HS241" s="5"/>
      <c r="HT241" s="5"/>
      <c r="HU241" s="5"/>
      <c r="HV241" s="5"/>
      <c r="HW241" s="5"/>
      <c r="HX241" s="5"/>
      <c r="HY241" s="5"/>
      <c r="HZ241" s="5"/>
      <c r="IA241" s="5"/>
      <c r="IB241" s="5"/>
      <c r="IC241" s="5"/>
      <c r="ID241" s="5"/>
    </row>
    <row r="242" spans="1:239" customHeight="1" ht="13.2">
      <c r="A242" s="3" t="s">
        <v>503</v>
      </c>
      <c r="B242" s="23" t="s">
        <v>504</v>
      </c>
      <c r="C242" s="11"/>
      <c r="D242" s="3" t="s">
        <v>20</v>
      </c>
      <c r="E242" s="3" t="s">
        <v>229</v>
      </c>
      <c r="F242" s="38">
        <v>400</v>
      </c>
      <c r="G242" s="38">
        <v>1630</v>
      </c>
      <c r="H242" s="3"/>
      <c r="I242" s="3">
        <v>2003</v>
      </c>
      <c r="J242" s="41">
        <v>400</v>
      </c>
      <c r="K242" s="38">
        <v>1648</v>
      </c>
      <c r="L242" s="34" t="s">
        <v>43</v>
      </c>
      <c r="M242" s="11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/>
      <c r="DW242" s="5"/>
      <c r="DX242" s="5"/>
      <c r="DY242" s="5"/>
      <c r="DZ242" s="5"/>
      <c r="EA242" s="5"/>
      <c r="EB242" s="5"/>
      <c r="EC242" s="5"/>
      <c r="ED242" s="5"/>
      <c r="EE242" s="5"/>
      <c r="EF242" s="5"/>
      <c r="EG242" s="5"/>
      <c r="EH242" s="5"/>
      <c r="EI242" s="5"/>
      <c r="EJ242" s="5"/>
      <c r="EK242" s="5"/>
      <c r="EL242" s="5"/>
      <c r="EM242" s="5"/>
      <c r="EN242" s="5"/>
      <c r="EO242" s="5"/>
      <c r="EP242" s="5"/>
      <c r="EQ242" s="5"/>
      <c r="ER242" s="5"/>
      <c r="ES242" s="5"/>
      <c r="ET242" s="5"/>
      <c r="EU242" s="5"/>
      <c r="EV242" s="5"/>
      <c r="EW242" s="5"/>
      <c r="EX242" s="5"/>
      <c r="EY242" s="5"/>
      <c r="EZ242" s="5"/>
      <c r="FA242" s="5"/>
      <c r="FB242" s="5"/>
      <c r="FC242" s="5"/>
      <c r="FD242" s="5"/>
      <c r="FE242" s="5"/>
      <c r="FF242" s="5"/>
      <c r="FG242" s="5"/>
      <c r="FH242" s="5"/>
      <c r="FI242" s="5"/>
      <c r="FJ242" s="5"/>
      <c r="FK242" s="5"/>
      <c r="FL242" s="5"/>
      <c r="FM242" s="5"/>
      <c r="FN242" s="5"/>
      <c r="FO242" s="5"/>
      <c r="FP242" s="5"/>
      <c r="FQ242" s="5"/>
      <c r="FR242" s="5"/>
      <c r="FS242" s="5"/>
      <c r="FT242" s="5"/>
      <c r="FU242" s="5"/>
      <c r="FV242" s="5"/>
      <c r="FW242" s="5"/>
      <c r="FX242" s="5"/>
      <c r="FY242" s="5"/>
      <c r="FZ242" s="5"/>
      <c r="GA242" s="5"/>
      <c r="GB242" s="5"/>
      <c r="GC242" s="5"/>
      <c r="GD242" s="5"/>
      <c r="GE242" s="5"/>
      <c r="GF242" s="5"/>
      <c r="GG242" s="5"/>
      <c r="GH242" s="5"/>
      <c r="GI242" s="5"/>
      <c r="GJ242" s="5"/>
      <c r="GK242" s="5"/>
      <c r="GL242" s="5"/>
      <c r="GM242" s="5"/>
      <c r="GN242" s="5"/>
      <c r="GO242" s="5"/>
      <c r="GP242" s="5"/>
      <c r="GQ242" s="5"/>
      <c r="GR242" s="5"/>
      <c r="GS242" s="5"/>
      <c r="GT242" s="5"/>
      <c r="GU242" s="5"/>
      <c r="GV242" s="5"/>
      <c r="GW242" s="5"/>
      <c r="GX242" s="5"/>
      <c r="GY242" s="5"/>
      <c r="GZ242" s="5"/>
      <c r="HA242" s="5"/>
      <c r="HB242" s="5"/>
      <c r="HC242" s="5"/>
      <c r="HD242" s="5"/>
      <c r="HE242" s="5"/>
      <c r="HF242" s="5"/>
      <c r="HG242" s="5"/>
      <c r="HH242" s="5"/>
      <c r="HI242" s="5"/>
      <c r="HJ242" s="5"/>
      <c r="HK242" s="5"/>
      <c r="HL242" s="5"/>
      <c r="HM242" s="5"/>
      <c r="HN242" s="5"/>
      <c r="HO242" s="5"/>
      <c r="HP242" s="5"/>
      <c r="HQ242" s="5"/>
      <c r="HR242" s="5"/>
      <c r="HS242" s="5"/>
      <c r="HT242" s="5"/>
      <c r="HU242" s="5"/>
      <c r="HV242" s="5"/>
      <c r="HW242" s="5"/>
      <c r="HX242" s="5"/>
      <c r="HY242" s="5"/>
      <c r="HZ242" s="5"/>
      <c r="IA242" s="5"/>
      <c r="IB242" s="5"/>
      <c r="IC242" s="5"/>
      <c r="ID242" s="5"/>
    </row>
    <row r="243" spans="1:239" customHeight="1" ht="13.2">
      <c r="A243" s="3" t="s">
        <v>505</v>
      </c>
      <c r="B243" s="23" t="s">
        <v>506</v>
      </c>
      <c r="C243" s="11"/>
      <c r="D243" s="3" t="s">
        <v>38</v>
      </c>
      <c r="E243" s="3" t="s">
        <v>91</v>
      </c>
      <c r="F243" s="38">
        <v>209</v>
      </c>
      <c r="G243" s="38">
        <v>836</v>
      </c>
      <c r="H243" s="3"/>
      <c r="I243" s="3">
        <v>2014</v>
      </c>
      <c r="J243" s="41">
        <v>209</v>
      </c>
      <c r="K243" s="38">
        <v>852</v>
      </c>
      <c r="L243" s="21" t="s">
        <v>506</v>
      </c>
      <c r="M243" s="11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/>
      <c r="DQ243" s="5"/>
      <c r="DR243" s="5"/>
      <c r="DS243" s="5"/>
      <c r="DT243" s="5"/>
      <c r="DU243" s="5"/>
      <c r="DV243" s="5"/>
      <c r="DW243" s="5"/>
      <c r="DX243" s="5"/>
      <c r="DY243" s="5"/>
      <c r="DZ243" s="5"/>
      <c r="EA243" s="5"/>
      <c r="EB243" s="5"/>
      <c r="EC243" s="5"/>
      <c r="ED243" s="5"/>
      <c r="EE243" s="5"/>
      <c r="EF243" s="5"/>
      <c r="EG243" s="5"/>
      <c r="EH243" s="5"/>
      <c r="EI243" s="5"/>
      <c r="EJ243" s="5"/>
      <c r="EK243" s="5"/>
      <c r="EL243" s="5"/>
      <c r="EM243" s="5"/>
      <c r="EN243" s="5"/>
      <c r="EO243" s="5"/>
      <c r="EP243" s="5"/>
      <c r="EQ243" s="5"/>
      <c r="ER243" s="5"/>
      <c r="ES243" s="5"/>
      <c r="ET243" s="5"/>
      <c r="EU243" s="5"/>
      <c r="EV243" s="5"/>
      <c r="EW243" s="5"/>
      <c r="EX243" s="5"/>
      <c r="EY243" s="5"/>
      <c r="EZ243" s="5"/>
      <c r="FA243" s="5"/>
      <c r="FB243" s="5"/>
      <c r="FC243" s="5"/>
      <c r="FD243" s="5"/>
      <c r="FE243" s="5"/>
      <c r="FF243" s="5"/>
      <c r="FG243" s="5"/>
      <c r="FH243" s="5"/>
      <c r="FI243" s="5"/>
      <c r="FJ243" s="5"/>
      <c r="FK243" s="5"/>
      <c r="FL243" s="5"/>
      <c r="FM243" s="5"/>
      <c r="FN243" s="5"/>
      <c r="FO243" s="5"/>
      <c r="FP243" s="5"/>
      <c r="FQ243" s="5"/>
      <c r="FR243" s="5"/>
      <c r="FS243" s="5"/>
      <c r="FT243" s="5"/>
      <c r="FU243" s="5"/>
      <c r="FV243" s="5"/>
      <c r="FW243" s="5"/>
      <c r="FX243" s="5"/>
      <c r="FY243" s="5"/>
      <c r="FZ243" s="5"/>
      <c r="GA243" s="5"/>
      <c r="GB243" s="5"/>
      <c r="GC243" s="5"/>
      <c r="GD243" s="5"/>
      <c r="GE243" s="5"/>
      <c r="GF243" s="5"/>
      <c r="GG243" s="5"/>
      <c r="GH243" s="5"/>
      <c r="GI243" s="5"/>
      <c r="GJ243" s="5"/>
      <c r="GK243" s="5"/>
      <c r="GL243" s="5"/>
      <c r="GM243" s="5"/>
      <c r="GN243" s="5"/>
      <c r="GO243" s="5"/>
      <c r="GP243" s="5"/>
      <c r="GQ243" s="5"/>
      <c r="GR243" s="5"/>
      <c r="GS243" s="5"/>
      <c r="GT243" s="5"/>
      <c r="GU243" s="5"/>
      <c r="GV243" s="5"/>
      <c r="GW243" s="5"/>
      <c r="GX243" s="5"/>
      <c r="GY243" s="5"/>
      <c r="GZ243" s="5"/>
      <c r="HA243" s="5"/>
      <c r="HB243" s="5"/>
      <c r="HC243" s="5"/>
      <c r="HD243" s="5"/>
      <c r="HE243" s="5"/>
      <c r="HF243" s="5"/>
      <c r="HG243" s="5"/>
      <c r="HH243" s="5"/>
      <c r="HI243" s="5"/>
      <c r="HJ243" s="5"/>
      <c r="HK243" s="5"/>
      <c r="HL243" s="5"/>
      <c r="HM243" s="5"/>
      <c r="HN243" s="5"/>
      <c r="HO243" s="5"/>
      <c r="HP243" s="5"/>
      <c r="HQ243" s="5"/>
      <c r="HR243" s="5"/>
      <c r="HS243" s="5"/>
      <c r="HT243" s="5"/>
      <c r="HU243" s="5"/>
      <c r="HV243" s="5"/>
      <c r="HW243" s="5"/>
      <c r="HX243" s="5"/>
      <c r="HY243" s="5"/>
      <c r="HZ243" s="5"/>
      <c r="IA243" s="5"/>
      <c r="IB243" s="5"/>
      <c r="IC243" s="5"/>
      <c r="ID243" s="5"/>
    </row>
    <row r="244" spans="1:239" customHeight="1" ht="13.2">
      <c r="A244" s="11"/>
      <c r="B244" s="91" t="s">
        <v>507</v>
      </c>
      <c r="C244" s="91"/>
      <c r="D244" s="15"/>
      <c r="E244" s="15"/>
      <c r="F244" s="72">
        <f>SUM(F233:F243)</f>
        <v>3504</v>
      </c>
      <c r="G244" s="72">
        <f>SUM(G233:G243)</f>
        <v>13691</v>
      </c>
      <c r="H244" s="74"/>
      <c r="I244" s="76" t="s">
        <v>43</v>
      </c>
      <c r="J244" s="72">
        <f>SUM(J233:J243)</f>
        <v>3504</v>
      </c>
      <c r="K244" s="72">
        <f>SUM(K233:K243)</f>
        <v>13877</v>
      </c>
      <c r="L244" s="34" t="s">
        <v>43</v>
      </c>
      <c r="M244" s="11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5"/>
      <c r="EB244" s="5"/>
      <c r="EC244" s="5"/>
      <c r="ED244" s="5"/>
      <c r="EE244" s="5"/>
      <c r="EF244" s="5"/>
      <c r="EG244" s="5"/>
      <c r="EH244" s="5"/>
      <c r="EI244" s="5"/>
      <c r="EJ244" s="5"/>
      <c r="EK244" s="5"/>
      <c r="EL244" s="5"/>
      <c r="EM244" s="5"/>
      <c r="EN244" s="5"/>
      <c r="EO244" s="5"/>
      <c r="EP244" s="5"/>
      <c r="EQ244" s="5"/>
      <c r="ER244" s="5"/>
      <c r="ES244" s="5"/>
      <c r="ET244" s="5"/>
      <c r="EU244" s="5"/>
      <c r="EV244" s="5"/>
      <c r="EW244" s="5"/>
      <c r="EX244" s="5"/>
      <c r="EY244" s="5"/>
      <c r="EZ244" s="5"/>
      <c r="FA244" s="5"/>
      <c r="FB244" s="5"/>
      <c r="FC244" s="5"/>
      <c r="FD244" s="5"/>
      <c r="FE244" s="5"/>
      <c r="FF244" s="5"/>
      <c r="FG244" s="5"/>
      <c r="FH244" s="5"/>
      <c r="FI244" s="5"/>
      <c r="FJ244" s="5"/>
      <c r="FK244" s="5"/>
      <c r="FL244" s="5"/>
      <c r="FM244" s="5"/>
      <c r="FN244" s="5"/>
      <c r="FO244" s="5"/>
      <c r="FP244" s="5"/>
      <c r="FQ244" s="5"/>
      <c r="FR244" s="5"/>
      <c r="FS244" s="5"/>
      <c r="FT244" s="5"/>
      <c r="FU244" s="5"/>
      <c r="FV244" s="5"/>
      <c r="FW244" s="5"/>
      <c r="FX244" s="5"/>
      <c r="FY244" s="5"/>
      <c r="FZ244" s="5"/>
      <c r="GA244" s="5"/>
      <c r="GB244" s="5"/>
      <c r="GC244" s="5"/>
      <c r="GD244" s="5"/>
      <c r="GE244" s="5"/>
      <c r="GF244" s="5"/>
      <c r="GG244" s="5"/>
      <c r="GH244" s="5"/>
      <c r="GI244" s="5"/>
      <c r="GJ244" s="5"/>
      <c r="GK244" s="5"/>
      <c r="GL244" s="5"/>
      <c r="GM244" s="5"/>
      <c r="GN244" s="5"/>
      <c r="GO244" s="5"/>
      <c r="GP244" s="5"/>
      <c r="GQ244" s="5"/>
      <c r="GR244" s="5"/>
      <c r="GS244" s="5"/>
      <c r="GT244" s="5"/>
      <c r="GU244" s="5"/>
      <c r="GV244" s="5"/>
      <c r="GW244" s="5"/>
      <c r="GX244" s="5"/>
      <c r="GY244" s="5"/>
      <c r="GZ244" s="5"/>
      <c r="HA244" s="5"/>
      <c r="HB244" s="5"/>
      <c r="HC244" s="5"/>
      <c r="HD244" s="5"/>
      <c r="HE244" s="5"/>
      <c r="HF244" s="5"/>
      <c r="HG244" s="5"/>
      <c r="HH244" s="5"/>
      <c r="HI244" s="5"/>
      <c r="HJ244" s="5"/>
      <c r="HK244" s="5"/>
      <c r="HL244" s="5"/>
      <c r="HM244" s="5"/>
      <c r="HN244" s="5"/>
      <c r="HO244" s="5"/>
      <c r="HP244" s="5"/>
      <c r="HQ244" s="5"/>
      <c r="HR244" s="5"/>
      <c r="HS244" s="5"/>
      <c r="HT244" s="5"/>
      <c r="HU244" s="5"/>
      <c r="HV244" s="5"/>
      <c r="HW244" s="5"/>
      <c r="HX244" s="5"/>
      <c r="HY244" s="5"/>
      <c r="HZ244" s="5"/>
      <c r="IA244" s="5"/>
      <c r="IB244" s="5"/>
      <c r="IC244" s="5"/>
      <c r="ID244" s="5"/>
    </row>
    <row r="245" spans="1:239" customHeight="1" ht="13.2">
      <c r="A245" s="11"/>
      <c r="B245" s="11"/>
      <c r="C245" s="11"/>
      <c r="D245" s="15"/>
      <c r="E245" s="15"/>
      <c r="F245" s="39"/>
      <c r="G245" s="39"/>
      <c r="H245" s="15"/>
      <c r="I245" s="15"/>
      <c r="J245" s="39"/>
      <c r="K245" s="39"/>
      <c r="L245" s="11"/>
      <c r="M245" s="11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L245" s="5"/>
      <c r="DM245" s="5"/>
      <c r="DN245" s="5"/>
      <c r="DO245" s="5"/>
      <c r="DP245" s="5"/>
      <c r="DQ245" s="5"/>
      <c r="DR245" s="5"/>
      <c r="DS245" s="5"/>
      <c r="DT245" s="5"/>
      <c r="DU245" s="5"/>
      <c r="DV245" s="5"/>
      <c r="DW245" s="5"/>
      <c r="DX245" s="5"/>
      <c r="DY245" s="5"/>
      <c r="DZ245" s="5"/>
      <c r="EA245" s="5"/>
      <c r="EB245" s="5"/>
      <c r="EC245" s="5"/>
      <c r="ED245" s="5"/>
      <c r="EE245" s="5"/>
      <c r="EF245" s="5"/>
      <c r="EG245" s="5"/>
      <c r="EH245" s="5"/>
      <c r="EI245" s="5"/>
      <c r="EJ245" s="5"/>
      <c r="EK245" s="5"/>
      <c r="EL245" s="5"/>
      <c r="EM245" s="5"/>
      <c r="EN245" s="5"/>
      <c r="EO245" s="5"/>
      <c r="EP245" s="5"/>
      <c r="EQ245" s="5"/>
      <c r="ER245" s="5"/>
      <c r="ES245" s="5"/>
      <c r="ET245" s="5"/>
      <c r="EU245" s="5"/>
      <c r="EV245" s="5"/>
      <c r="EW245" s="5"/>
      <c r="EX245" s="5"/>
      <c r="EY245" s="5"/>
      <c r="EZ245" s="5"/>
      <c r="FA245" s="5"/>
      <c r="FB245" s="5"/>
      <c r="FC245" s="5"/>
      <c r="FD245" s="5"/>
      <c r="FE245" s="5"/>
      <c r="FF245" s="5"/>
      <c r="FG245" s="5"/>
      <c r="FH245" s="5"/>
      <c r="FI245" s="5"/>
      <c r="FJ245" s="5"/>
      <c r="FK245" s="5"/>
      <c r="FL245" s="5"/>
      <c r="FM245" s="5"/>
      <c r="FN245" s="5"/>
      <c r="FO245" s="5"/>
      <c r="FP245" s="5"/>
      <c r="FQ245" s="5"/>
      <c r="FR245" s="5"/>
      <c r="FS245" s="5"/>
      <c r="FT245" s="5"/>
      <c r="FU245" s="5"/>
      <c r="FV245" s="5"/>
      <c r="FW245" s="5"/>
      <c r="FX245" s="5"/>
      <c r="FY245" s="5"/>
      <c r="FZ245" s="5"/>
      <c r="GA245" s="5"/>
      <c r="GB245" s="5"/>
      <c r="GC245" s="5"/>
      <c r="GD245" s="5"/>
      <c r="GE245" s="5"/>
      <c r="GF245" s="5"/>
      <c r="GG245" s="5"/>
      <c r="GH245" s="5"/>
      <c r="GI245" s="5"/>
      <c r="GJ245" s="5"/>
      <c r="GK245" s="5"/>
      <c r="GL245" s="5"/>
      <c r="GM245" s="5"/>
      <c r="GN245" s="5"/>
      <c r="GO245" s="5"/>
      <c r="GP245" s="5"/>
      <c r="GQ245" s="5"/>
      <c r="GR245" s="5"/>
      <c r="GS245" s="5"/>
      <c r="GT245" s="5"/>
      <c r="GU245" s="5"/>
      <c r="GV245" s="5"/>
      <c r="GW245" s="5"/>
      <c r="GX245" s="5"/>
      <c r="GY245" s="5"/>
      <c r="GZ245" s="5"/>
      <c r="HA245" s="5"/>
      <c r="HB245" s="5"/>
      <c r="HC245" s="5"/>
      <c r="HD245" s="5"/>
      <c r="HE245" s="5"/>
      <c r="HF245" s="5"/>
      <c r="HG245" s="5"/>
      <c r="HH245" s="5"/>
      <c r="HI245" s="5"/>
      <c r="HJ245" s="5"/>
      <c r="HK245" s="5"/>
      <c r="HL245" s="5"/>
      <c r="HM245" s="5"/>
      <c r="HN245" s="5"/>
      <c r="HO245" s="5"/>
      <c r="HP245" s="5"/>
      <c r="HQ245" s="5"/>
      <c r="HR245" s="5"/>
      <c r="HS245" s="5"/>
      <c r="HT245" s="5"/>
      <c r="HU245" s="5"/>
      <c r="HV245" s="5"/>
      <c r="HW245" s="5"/>
      <c r="HX245" s="5"/>
      <c r="HY245" s="5"/>
      <c r="HZ245" s="5"/>
      <c r="IA245" s="5"/>
      <c r="IB245" s="5"/>
      <c r="IC245" s="5"/>
      <c r="ID245" s="5"/>
    </row>
    <row r="246" spans="1:239" customHeight="1" ht="25.5">
      <c r="A246" s="93" t="s">
        <v>508</v>
      </c>
      <c r="B246" s="94"/>
      <c r="C246" s="68"/>
      <c r="D246" s="69"/>
      <c r="E246" s="69"/>
      <c r="F246" s="80">
        <f>SUM(F18+F28+F34+F56+F95+F120+F216+F230+F244)</f>
        <v>63701</v>
      </c>
      <c r="G246" s="80">
        <f>SUM(G18+G28+G34+G56+G95+G120+G216+G230+G244)</f>
        <v>256307</v>
      </c>
      <c r="H246" s="81"/>
      <c r="I246" s="82" t="s">
        <v>509</v>
      </c>
      <c r="J246" s="80">
        <f>SUM(J18+J28+J34+J56+J95+J120+J216+J230+J244)</f>
        <v>64942</v>
      </c>
      <c r="K246" s="80">
        <f>SUM(K18+K28+K34+K56+K95+K120+K216+K230+K244)</f>
        <v>262871</v>
      </c>
      <c r="L246" s="70"/>
      <c r="M246" s="70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5"/>
      <c r="EB246" s="5"/>
      <c r="EC246" s="5"/>
      <c r="ED246" s="5"/>
      <c r="EE246" s="5"/>
      <c r="EF246" s="5"/>
      <c r="EG246" s="5"/>
      <c r="EH246" s="5"/>
      <c r="EI246" s="5"/>
      <c r="EJ246" s="5"/>
      <c r="EK246" s="5"/>
      <c r="EL246" s="5"/>
      <c r="EM246" s="5"/>
      <c r="EN246" s="5"/>
      <c r="EO246" s="5"/>
      <c r="EP246" s="5"/>
      <c r="EQ246" s="5"/>
      <c r="ER246" s="5"/>
      <c r="ES246" s="5"/>
      <c r="ET246" s="5"/>
      <c r="EU246" s="5"/>
      <c r="EV246" s="5"/>
      <c r="EW246" s="5"/>
      <c r="EX246" s="5"/>
      <c r="EY246" s="5"/>
      <c r="EZ246" s="5"/>
      <c r="FA246" s="5"/>
      <c r="FB246" s="5"/>
      <c r="FC246" s="5"/>
      <c r="FD246" s="5"/>
      <c r="FE246" s="5"/>
      <c r="FF246" s="5"/>
      <c r="FG246" s="5"/>
      <c r="FH246" s="5"/>
      <c r="FI246" s="5"/>
      <c r="FJ246" s="5"/>
      <c r="FK246" s="5"/>
      <c r="FL246" s="5"/>
      <c r="FM246" s="5"/>
      <c r="FN246" s="5"/>
      <c r="FO246" s="5"/>
      <c r="FP246" s="5"/>
      <c r="FQ246" s="5"/>
      <c r="FR246" s="5"/>
      <c r="FS246" s="5"/>
      <c r="FT246" s="5"/>
      <c r="FU246" s="5"/>
      <c r="FV246" s="5"/>
      <c r="FW246" s="5"/>
      <c r="FX246" s="5"/>
      <c r="FY246" s="5"/>
      <c r="FZ246" s="5"/>
      <c r="GA246" s="5"/>
      <c r="GB246" s="5"/>
      <c r="GC246" s="5"/>
      <c r="GD246" s="5"/>
      <c r="GE246" s="5"/>
      <c r="GF246" s="5"/>
      <c r="GG246" s="5"/>
      <c r="GH246" s="5"/>
      <c r="GI246" s="5"/>
      <c r="GJ246" s="5"/>
      <c r="GK246" s="5"/>
      <c r="GL246" s="5"/>
      <c r="GM246" s="5"/>
      <c r="GN246" s="5"/>
      <c r="GO246" s="5"/>
      <c r="GP246" s="5"/>
      <c r="GQ246" s="5"/>
      <c r="GR246" s="5"/>
      <c r="GS246" s="5"/>
      <c r="GT246" s="5"/>
      <c r="GU246" s="5"/>
      <c r="GV246" s="5"/>
      <c r="GW246" s="5"/>
      <c r="GX246" s="5"/>
      <c r="GY246" s="5"/>
      <c r="GZ246" s="5"/>
      <c r="HA246" s="5"/>
      <c r="HB246" s="5"/>
      <c r="HC246" s="5"/>
      <c r="HD246" s="5"/>
      <c r="HE246" s="5"/>
      <c r="HF246" s="5"/>
      <c r="HG246" s="5"/>
      <c r="HH246" s="5"/>
      <c r="HI246" s="5"/>
      <c r="HJ246" s="5"/>
      <c r="HK246" s="5"/>
      <c r="HL246" s="5"/>
      <c r="HM246" s="5"/>
      <c r="HN246" s="5"/>
      <c r="HO246" s="5"/>
      <c r="HP246" s="5"/>
      <c r="HQ246" s="5"/>
      <c r="HR246" s="5"/>
      <c r="HS246" s="5"/>
      <c r="HT246" s="5"/>
      <c r="HU246" s="5"/>
      <c r="HV246" s="5"/>
      <c r="HW246" s="5"/>
      <c r="HX246" s="5"/>
      <c r="HY246" s="5"/>
      <c r="HZ246" s="5"/>
      <c r="IA246" s="5"/>
      <c r="IB246" s="5"/>
      <c r="IC246" s="5"/>
      <c r="ID246" s="5"/>
    </row>
    <row r="247" spans="1:239" customHeight="1" ht="13.8">
      <c r="F247" s="45"/>
      <c r="G247" s="45"/>
      <c r="J247" s="45"/>
      <c r="K247" s="46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L247" s="5"/>
      <c r="DM247" s="5"/>
      <c r="DN247" s="5"/>
      <c r="DO247" s="5"/>
      <c r="DP247" s="5"/>
      <c r="DQ247" s="5"/>
      <c r="DR247" s="5"/>
      <c r="DS247" s="5"/>
      <c r="DT247" s="5"/>
      <c r="DU247" s="5"/>
      <c r="DV247" s="5"/>
      <c r="DW247" s="5"/>
      <c r="DX247" s="5"/>
      <c r="DY247" s="5"/>
      <c r="DZ247" s="5"/>
      <c r="EA247" s="5"/>
      <c r="EB247" s="5"/>
      <c r="EC247" s="5"/>
      <c r="ED247" s="5"/>
      <c r="EE247" s="5"/>
      <c r="EF247" s="5"/>
      <c r="EG247" s="5"/>
      <c r="EH247" s="5"/>
      <c r="EI247" s="5"/>
      <c r="EJ247" s="5"/>
      <c r="EK247" s="5"/>
      <c r="EL247" s="5"/>
      <c r="EM247" s="5"/>
      <c r="EN247" s="5"/>
      <c r="EO247" s="5"/>
      <c r="EP247" s="5"/>
      <c r="EQ247" s="5"/>
      <c r="ER247" s="5"/>
      <c r="ES247" s="5"/>
      <c r="ET247" s="5"/>
      <c r="EU247" s="5"/>
      <c r="EV247" s="5"/>
      <c r="EW247" s="5"/>
      <c r="EX247" s="5"/>
      <c r="EY247" s="5"/>
      <c r="EZ247" s="5"/>
      <c r="FA247" s="5"/>
      <c r="FB247" s="5"/>
      <c r="FC247" s="5"/>
      <c r="FD247" s="5"/>
      <c r="FE247" s="5"/>
      <c r="FF247" s="5"/>
      <c r="FG247" s="5"/>
      <c r="FH247" s="5"/>
      <c r="FI247" s="5"/>
      <c r="FJ247" s="5"/>
      <c r="FK247" s="5"/>
      <c r="FL247" s="5"/>
      <c r="FM247" s="5"/>
      <c r="FN247" s="5"/>
      <c r="FO247" s="5"/>
      <c r="FP247" s="5"/>
      <c r="FQ247" s="5"/>
      <c r="FR247" s="5"/>
      <c r="FS247" s="5"/>
      <c r="FT247" s="5"/>
      <c r="FU247" s="5"/>
      <c r="FV247" s="5"/>
      <c r="FW247" s="5"/>
      <c r="FX247" s="5"/>
      <c r="FY247" s="5"/>
      <c r="FZ247" s="5"/>
      <c r="GA247" s="5"/>
      <c r="GB247" s="5"/>
      <c r="GC247" s="5"/>
      <c r="GD247" s="5"/>
      <c r="GE247" s="5"/>
      <c r="GF247" s="5"/>
      <c r="GG247" s="5"/>
      <c r="GH247" s="5"/>
      <c r="GI247" s="5"/>
      <c r="GJ247" s="5"/>
      <c r="GK247" s="5"/>
      <c r="GL247" s="5"/>
      <c r="GM247" s="5"/>
      <c r="GN247" s="5"/>
      <c r="GO247" s="5"/>
      <c r="GP247" s="5"/>
      <c r="GQ247" s="5"/>
      <c r="GR247" s="5"/>
      <c r="GS247" s="5"/>
      <c r="GT247" s="5"/>
      <c r="GU247" s="5"/>
      <c r="GV247" s="5"/>
      <c r="GW247" s="5"/>
      <c r="GX247" s="5"/>
      <c r="GY247" s="5"/>
      <c r="GZ247" s="5"/>
      <c r="HA247" s="5"/>
      <c r="HB247" s="5"/>
      <c r="HC247" s="5"/>
      <c r="HD247" s="5"/>
      <c r="HE247" s="5"/>
      <c r="HF247" s="5"/>
      <c r="HG247" s="5"/>
      <c r="HH247" s="5"/>
      <c r="HI247" s="5"/>
      <c r="HJ247" s="5"/>
      <c r="HK247" s="5"/>
      <c r="HL247" s="5"/>
      <c r="HM247" s="5"/>
      <c r="HN247" s="5"/>
      <c r="HO247" s="5"/>
      <c r="HP247" s="5"/>
      <c r="HQ247" s="5"/>
      <c r="HR247" s="5"/>
      <c r="HS247" s="5"/>
      <c r="HT247" s="5"/>
      <c r="HU247" s="5"/>
      <c r="HV247" s="5"/>
      <c r="HW247" s="5"/>
      <c r="HX247" s="5"/>
      <c r="HY247" s="5"/>
      <c r="HZ247" s="5"/>
      <c r="IA247" s="5"/>
      <c r="IB247" s="5"/>
      <c r="IC247" s="5"/>
      <c r="ID247" s="5"/>
    </row>
    <row r="248" spans="1:239" customHeight="1" ht="13.2">
      <c r="B248" s="113" t="s">
        <v>510</v>
      </c>
      <c r="C248" s="113"/>
      <c r="D248" s="113"/>
      <c r="E248" s="113"/>
      <c r="F248" s="46"/>
      <c r="G248" s="45"/>
      <c r="J248" s="45"/>
      <c r="K248" s="116" t="s">
        <v>511</v>
      </c>
      <c r="L248" s="116"/>
      <c r="M248" s="11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5"/>
      <c r="EB248" s="5"/>
      <c r="EC248" s="5"/>
      <c r="ED248" s="5"/>
      <c r="EE248" s="5"/>
      <c r="EF248" s="5"/>
      <c r="EG248" s="5"/>
      <c r="EH248" s="5"/>
      <c r="EI248" s="5"/>
      <c r="EJ248" s="5"/>
      <c r="EK248" s="5"/>
      <c r="EL248" s="5"/>
      <c r="EM248" s="5"/>
      <c r="EN248" s="5"/>
      <c r="EO248" s="5"/>
      <c r="EP248" s="5"/>
      <c r="EQ248" s="5"/>
      <c r="ER248" s="5"/>
      <c r="ES248" s="5"/>
      <c r="ET248" s="5"/>
      <c r="EU248" s="5"/>
      <c r="EV248" s="5"/>
      <c r="EW248" s="5"/>
      <c r="EX248" s="5"/>
      <c r="EY248" s="5"/>
      <c r="EZ248" s="5"/>
      <c r="FA248" s="5"/>
      <c r="FB248" s="5"/>
      <c r="FC248" s="5"/>
      <c r="FD248" s="5"/>
      <c r="FE248" s="5"/>
      <c r="FF248" s="5"/>
      <c r="FG248" s="5"/>
      <c r="FH248" s="5"/>
      <c r="FI248" s="5"/>
      <c r="FJ248" s="5"/>
      <c r="FK248" s="5"/>
      <c r="FL248" s="5"/>
      <c r="FM248" s="5"/>
      <c r="FN248" s="5"/>
      <c r="FO248" s="5"/>
      <c r="FP248" s="5"/>
      <c r="FQ248" s="5"/>
      <c r="FR248" s="5"/>
      <c r="FS248" s="5"/>
      <c r="FT248" s="5"/>
      <c r="FU248" s="5"/>
      <c r="FV248" s="5"/>
      <c r="FW248" s="5"/>
      <c r="FX248" s="5"/>
      <c r="FY248" s="5"/>
      <c r="FZ248" s="5"/>
      <c r="GA248" s="5"/>
      <c r="GB248" s="5"/>
      <c r="GC248" s="5"/>
      <c r="GD248" s="5"/>
      <c r="GE248" s="5"/>
      <c r="GF248" s="5"/>
      <c r="GG248" s="5"/>
      <c r="GH248" s="5"/>
      <c r="GI248" s="5"/>
      <c r="GJ248" s="5"/>
      <c r="GK248" s="5"/>
      <c r="GL248" s="5"/>
      <c r="GM248" s="5"/>
      <c r="GN248" s="5"/>
      <c r="GO248" s="5"/>
      <c r="GP248" s="5"/>
      <c r="GQ248" s="5"/>
      <c r="GR248" s="5"/>
      <c r="GS248" s="5"/>
      <c r="GT248" s="5"/>
      <c r="GU248" s="5"/>
      <c r="GV248" s="5"/>
      <c r="GW248" s="5"/>
      <c r="GX248" s="5"/>
      <c r="GY248" s="5"/>
      <c r="GZ248" s="5"/>
      <c r="HA248" s="5"/>
      <c r="HB248" s="5"/>
      <c r="HC248" s="5"/>
      <c r="HD248" s="5"/>
      <c r="HE248" s="5"/>
      <c r="HF248" s="5"/>
      <c r="HG248" s="5"/>
      <c r="HH248" s="5"/>
      <c r="HI248" s="5"/>
      <c r="HJ248" s="5"/>
      <c r="HK248" s="5"/>
      <c r="HL248" s="5"/>
      <c r="HM248" s="5"/>
      <c r="HN248" s="5"/>
      <c r="HO248" s="5"/>
      <c r="HP248" s="5"/>
      <c r="HQ248" s="5"/>
      <c r="HR248" s="5"/>
      <c r="HS248" s="5"/>
      <c r="HT248" s="5"/>
      <c r="HU248" s="5"/>
      <c r="HV248" s="5"/>
      <c r="HW248" s="5"/>
      <c r="HX248" s="5"/>
      <c r="HY248" s="5"/>
      <c r="HZ248" s="5"/>
      <c r="IA248" s="5"/>
      <c r="IB248" s="5"/>
      <c r="IC248" s="5"/>
      <c r="ID248" s="5"/>
    </row>
    <row r="249" spans="1:239" customHeight="1" ht="13.2">
      <c r="B249" s="113" t="s">
        <v>512</v>
      </c>
      <c r="C249" s="113"/>
      <c r="D249" s="113"/>
      <c r="E249" s="113"/>
      <c r="K249" s="117" t="s">
        <v>513</v>
      </c>
      <c r="L249" s="117"/>
      <c r="M249" s="117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  <c r="DM249" s="5"/>
      <c r="DN249" s="5"/>
      <c r="DO249" s="5"/>
      <c r="DP249" s="5"/>
      <c r="DQ249" s="5"/>
      <c r="DR249" s="5"/>
      <c r="DS249" s="5"/>
      <c r="DT249" s="5"/>
      <c r="DU249" s="5"/>
      <c r="DV249" s="5"/>
      <c r="DW249" s="5"/>
      <c r="DX249" s="5"/>
      <c r="DY249" s="5"/>
      <c r="DZ249" s="5"/>
      <c r="EA249" s="5"/>
      <c r="EB249" s="5"/>
      <c r="EC249" s="5"/>
      <c r="ED249" s="5"/>
      <c r="EE249" s="5"/>
      <c r="EF249" s="5"/>
      <c r="EG249" s="5"/>
      <c r="EH249" s="5"/>
      <c r="EI249" s="5"/>
      <c r="EJ249" s="5"/>
      <c r="EK249" s="5"/>
      <c r="EL249" s="5"/>
      <c r="EM249" s="5"/>
      <c r="EN249" s="5"/>
      <c r="EO249" s="5"/>
      <c r="EP249" s="5"/>
      <c r="EQ249" s="5"/>
      <c r="ER249" s="5"/>
      <c r="ES249" s="5"/>
      <c r="ET249" s="5"/>
      <c r="EU249" s="5"/>
      <c r="EV249" s="5"/>
      <c r="EW249" s="5"/>
      <c r="EX249" s="5"/>
      <c r="EY249" s="5"/>
      <c r="EZ249" s="5"/>
      <c r="FA249" s="5"/>
      <c r="FB249" s="5"/>
      <c r="FC249" s="5"/>
      <c r="FD249" s="5"/>
      <c r="FE249" s="5"/>
      <c r="FF249" s="5"/>
      <c r="FG249" s="5"/>
      <c r="FH249" s="5"/>
      <c r="FI249" s="5"/>
      <c r="FJ249" s="5"/>
      <c r="FK249" s="5"/>
      <c r="FL249" s="5"/>
      <c r="FM249" s="5"/>
      <c r="FN249" s="5"/>
      <c r="FO249" s="5"/>
      <c r="FP249" s="5"/>
      <c r="FQ249" s="5"/>
      <c r="FR249" s="5"/>
      <c r="FS249" s="5"/>
      <c r="FT249" s="5"/>
      <c r="FU249" s="5"/>
      <c r="FV249" s="5"/>
      <c r="FW249" s="5"/>
      <c r="FX249" s="5"/>
      <c r="FY249" s="5"/>
      <c r="FZ249" s="5"/>
      <c r="GA249" s="5"/>
      <c r="GB249" s="5"/>
      <c r="GC249" s="5"/>
      <c r="GD249" s="5"/>
      <c r="GE249" s="5"/>
      <c r="GF249" s="5"/>
      <c r="GG249" s="5"/>
      <c r="GH249" s="5"/>
      <c r="GI249" s="5"/>
      <c r="GJ249" s="5"/>
      <c r="GK249" s="5"/>
      <c r="GL249" s="5"/>
      <c r="GM249" s="5"/>
      <c r="GN249" s="5"/>
      <c r="GO249" s="5"/>
      <c r="GP249" s="5"/>
      <c r="GQ249" s="5"/>
      <c r="GR249" s="5"/>
      <c r="GS249" s="5"/>
      <c r="GT249" s="5"/>
      <c r="GU249" s="5"/>
      <c r="GV249" s="5"/>
      <c r="GW249" s="5"/>
      <c r="GX249" s="5"/>
      <c r="GY249" s="5"/>
      <c r="GZ249" s="5"/>
      <c r="HA249" s="5"/>
      <c r="HB249" s="5"/>
      <c r="HC249" s="5"/>
      <c r="HD249" s="5"/>
      <c r="HE249" s="5"/>
      <c r="HF249" s="5"/>
      <c r="HG249" s="5"/>
      <c r="HH249" s="5"/>
      <c r="HI249" s="5"/>
      <c r="HJ249" s="5"/>
      <c r="HK249" s="5"/>
      <c r="HL249" s="5"/>
      <c r="HM249" s="5"/>
      <c r="HN249" s="5"/>
      <c r="HO249" s="5"/>
      <c r="HP249" s="5"/>
      <c r="HQ249" s="5"/>
      <c r="HR249" s="5"/>
      <c r="HS249" s="5"/>
      <c r="HT249" s="5"/>
      <c r="HU249" s="5"/>
      <c r="HV249" s="5"/>
      <c r="HW249" s="5"/>
      <c r="HX249" s="5"/>
      <c r="HY249" s="5"/>
      <c r="HZ249" s="5"/>
      <c r="IA249" s="5"/>
      <c r="IB249" s="5"/>
      <c r="IC249" s="5"/>
      <c r="ID249" s="5"/>
    </row>
    <row r="250" spans="1:239" customHeight="1" ht="13.2"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L250" s="5"/>
      <c r="DM250" s="5"/>
      <c r="DN250" s="5"/>
      <c r="DO250" s="5"/>
      <c r="DP250" s="5"/>
      <c r="DQ250" s="5"/>
      <c r="DR250" s="5"/>
      <c r="DS250" s="5"/>
      <c r="DT250" s="5"/>
      <c r="DU250" s="5"/>
      <c r="DV250" s="5"/>
      <c r="DW250" s="5"/>
      <c r="DX250" s="5"/>
      <c r="DY250" s="5"/>
      <c r="DZ250" s="5"/>
      <c r="EA250" s="5"/>
      <c r="EB250" s="5"/>
      <c r="EC250" s="5"/>
      <c r="ED250" s="5"/>
      <c r="EE250" s="5"/>
      <c r="EF250" s="5"/>
      <c r="EG250" s="5"/>
      <c r="EH250" s="5"/>
      <c r="EI250" s="5"/>
      <c r="EJ250" s="5"/>
      <c r="EK250" s="5"/>
      <c r="EL250" s="5"/>
      <c r="EM250" s="5"/>
      <c r="EN250" s="5"/>
      <c r="EO250" s="5"/>
      <c r="EP250" s="5"/>
      <c r="EQ250" s="5"/>
      <c r="ER250" s="5"/>
      <c r="ES250" s="5"/>
      <c r="ET250" s="5"/>
      <c r="EU250" s="5"/>
      <c r="EV250" s="5"/>
      <c r="EW250" s="5"/>
      <c r="EX250" s="5"/>
      <c r="EY250" s="5"/>
      <c r="EZ250" s="5"/>
      <c r="FA250" s="5"/>
      <c r="FB250" s="5"/>
      <c r="FC250" s="5"/>
      <c r="FD250" s="5"/>
      <c r="FE250" s="5"/>
      <c r="FF250" s="5"/>
      <c r="FG250" s="5"/>
      <c r="FH250" s="5"/>
      <c r="FI250" s="5"/>
      <c r="FJ250" s="5"/>
      <c r="FK250" s="5"/>
      <c r="FL250" s="5"/>
      <c r="FM250" s="5"/>
      <c r="FN250" s="5"/>
      <c r="FO250" s="5"/>
      <c r="FP250" s="5"/>
      <c r="FQ250" s="5"/>
      <c r="FR250" s="5"/>
      <c r="FS250" s="5"/>
      <c r="FT250" s="5"/>
      <c r="FU250" s="5"/>
      <c r="FV250" s="5"/>
      <c r="FW250" s="5"/>
      <c r="FX250" s="5"/>
      <c r="FY250" s="5"/>
      <c r="FZ250" s="5"/>
      <c r="GA250" s="5"/>
      <c r="GB250" s="5"/>
      <c r="GC250" s="5"/>
      <c r="GD250" s="5"/>
      <c r="GE250" s="5"/>
      <c r="GF250" s="5"/>
      <c r="GG250" s="5"/>
      <c r="GH250" s="5"/>
      <c r="GI250" s="5"/>
      <c r="GJ250" s="5"/>
      <c r="GK250" s="5"/>
      <c r="GL250" s="5"/>
      <c r="GM250" s="5"/>
      <c r="GN250" s="5"/>
      <c r="GO250" s="5"/>
      <c r="GP250" s="5"/>
      <c r="GQ250" s="5"/>
      <c r="GR250" s="5"/>
      <c r="GS250" s="5"/>
      <c r="GT250" s="5"/>
      <c r="GU250" s="5"/>
      <c r="GV250" s="5"/>
      <c r="GW250" s="5"/>
      <c r="GX250" s="5"/>
      <c r="GY250" s="5"/>
      <c r="GZ250" s="5"/>
      <c r="HA250" s="5"/>
      <c r="HB250" s="5"/>
      <c r="HC250" s="5"/>
      <c r="HD250" s="5"/>
      <c r="HE250" s="5"/>
      <c r="HF250" s="5"/>
      <c r="HG250" s="5"/>
      <c r="HH250" s="5"/>
      <c r="HI250" s="5"/>
      <c r="HJ250" s="5"/>
      <c r="HK250" s="5"/>
      <c r="HL250" s="5"/>
      <c r="HM250" s="5"/>
      <c r="HN250" s="5"/>
      <c r="HO250" s="5"/>
      <c r="HP250" s="5"/>
      <c r="HQ250" s="5"/>
      <c r="HR250" s="5"/>
      <c r="HS250" s="5"/>
      <c r="HT250" s="5"/>
      <c r="HU250" s="5"/>
      <c r="HV250" s="5"/>
      <c r="HW250" s="5"/>
      <c r="HX250" s="5"/>
      <c r="HY250" s="5"/>
      <c r="HZ250" s="5"/>
      <c r="IA250" s="5"/>
      <c r="IB250" s="5"/>
      <c r="IC250" s="5"/>
      <c r="ID250" s="5"/>
    </row>
    <row r="251" spans="1:239" customHeight="1" ht="13.2"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L251" s="5"/>
      <c r="DM251" s="5"/>
      <c r="DN251" s="5"/>
      <c r="DO251" s="5"/>
      <c r="DP251" s="5"/>
      <c r="DQ251" s="5"/>
      <c r="DR251" s="5"/>
      <c r="DS251" s="5"/>
      <c r="DT251" s="5"/>
      <c r="DU251" s="5"/>
      <c r="DV251" s="5"/>
      <c r="DW251" s="5"/>
      <c r="DX251" s="5"/>
      <c r="DY251" s="5"/>
      <c r="DZ251" s="5"/>
      <c r="EA251" s="5"/>
      <c r="EB251" s="5"/>
      <c r="EC251" s="5"/>
      <c r="ED251" s="5"/>
      <c r="EE251" s="5"/>
      <c r="EF251" s="5"/>
      <c r="EG251" s="5"/>
      <c r="EH251" s="5"/>
      <c r="EI251" s="5"/>
      <c r="EJ251" s="5"/>
      <c r="EK251" s="5"/>
      <c r="EL251" s="5"/>
      <c r="EM251" s="5"/>
      <c r="EN251" s="5"/>
      <c r="EO251" s="5"/>
      <c r="EP251" s="5"/>
      <c r="EQ251" s="5"/>
      <c r="ER251" s="5"/>
      <c r="ES251" s="5"/>
      <c r="ET251" s="5"/>
      <c r="EU251" s="5"/>
      <c r="EV251" s="5"/>
      <c r="EW251" s="5"/>
      <c r="EX251" s="5"/>
      <c r="EY251" s="5"/>
      <c r="EZ251" s="5"/>
      <c r="FA251" s="5"/>
      <c r="FB251" s="5"/>
      <c r="FC251" s="5"/>
      <c r="FD251" s="5"/>
      <c r="FE251" s="5"/>
      <c r="FF251" s="5"/>
      <c r="FG251" s="5"/>
      <c r="FH251" s="5"/>
      <c r="FI251" s="5"/>
      <c r="FJ251" s="5"/>
      <c r="FK251" s="5"/>
      <c r="FL251" s="5"/>
      <c r="FM251" s="5"/>
      <c r="FN251" s="5"/>
      <c r="FO251" s="5"/>
      <c r="FP251" s="5"/>
      <c r="FQ251" s="5"/>
      <c r="FR251" s="5"/>
      <c r="FS251" s="5"/>
      <c r="FT251" s="5"/>
      <c r="FU251" s="5"/>
      <c r="FV251" s="5"/>
      <c r="FW251" s="5"/>
      <c r="FX251" s="5"/>
      <c r="FY251" s="5"/>
      <c r="FZ251" s="5"/>
      <c r="GA251" s="5"/>
      <c r="GB251" s="5"/>
      <c r="GC251" s="5"/>
      <c r="GD251" s="5"/>
      <c r="GE251" s="5"/>
      <c r="GF251" s="5"/>
      <c r="GG251" s="5"/>
      <c r="GH251" s="5"/>
      <c r="GI251" s="5"/>
      <c r="GJ251" s="5"/>
      <c r="GK251" s="5"/>
      <c r="GL251" s="5"/>
      <c r="GM251" s="5"/>
      <c r="GN251" s="5"/>
      <c r="GO251" s="5"/>
      <c r="GP251" s="5"/>
      <c r="GQ251" s="5"/>
      <c r="GR251" s="5"/>
      <c r="GS251" s="5"/>
      <c r="GT251" s="5"/>
      <c r="GU251" s="5"/>
      <c r="GV251" s="5"/>
      <c r="GW251" s="5"/>
      <c r="GX251" s="5"/>
      <c r="GY251" s="5"/>
      <c r="GZ251" s="5"/>
      <c r="HA251" s="5"/>
      <c r="HB251" s="5"/>
      <c r="HC251" s="5"/>
      <c r="HD251" s="5"/>
      <c r="HE251" s="5"/>
      <c r="HF251" s="5"/>
      <c r="HG251" s="5"/>
      <c r="HH251" s="5"/>
      <c r="HI251" s="5"/>
      <c r="HJ251" s="5"/>
      <c r="HK251" s="5"/>
      <c r="HL251" s="5"/>
      <c r="HM251" s="5"/>
      <c r="HN251" s="5"/>
      <c r="HO251" s="5"/>
      <c r="HP251" s="5"/>
      <c r="HQ251" s="5"/>
      <c r="HR251" s="5"/>
      <c r="HS251" s="5"/>
      <c r="HT251" s="5"/>
      <c r="HU251" s="5"/>
      <c r="HV251" s="5"/>
      <c r="HW251" s="5"/>
      <c r="HX251" s="5"/>
      <c r="HY251" s="5"/>
      <c r="HZ251" s="5"/>
      <c r="IA251" s="5"/>
      <c r="IB251" s="5"/>
      <c r="IC251" s="5"/>
      <c r="ID251" s="5"/>
    </row>
    <row r="252" spans="1:239" customHeight="1" ht="13.2"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L252" s="5"/>
      <c r="DM252" s="5"/>
      <c r="DN252" s="5"/>
      <c r="DO252" s="5"/>
      <c r="DP252" s="5"/>
      <c r="DQ252" s="5"/>
      <c r="DR252" s="5"/>
      <c r="DS252" s="5"/>
      <c r="DT252" s="5"/>
      <c r="DU252" s="5"/>
      <c r="DV252" s="5"/>
      <c r="DW252" s="5"/>
      <c r="DX252" s="5"/>
      <c r="DY252" s="5"/>
      <c r="DZ252" s="5"/>
      <c r="EA252" s="5"/>
      <c r="EB252" s="5"/>
      <c r="EC252" s="5"/>
      <c r="ED252" s="5"/>
      <c r="EE252" s="5"/>
      <c r="EF252" s="5"/>
      <c r="EG252" s="5"/>
      <c r="EH252" s="5"/>
      <c r="EI252" s="5"/>
      <c r="EJ252" s="5"/>
      <c r="EK252" s="5"/>
      <c r="EL252" s="5"/>
      <c r="EM252" s="5"/>
      <c r="EN252" s="5"/>
      <c r="EO252" s="5"/>
      <c r="EP252" s="5"/>
      <c r="EQ252" s="5"/>
      <c r="ER252" s="5"/>
      <c r="ES252" s="5"/>
      <c r="ET252" s="5"/>
      <c r="EU252" s="5"/>
      <c r="EV252" s="5"/>
      <c r="EW252" s="5"/>
      <c r="EX252" s="5"/>
      <c r="EY252" s="5"/>
      <c r="EZ252" s="5"/>
      <c r="FA252" s="5"/>
      <c r="FB252" s="5"/>
      <c r="FC252" s="5"/>
      <c r="FD252" s="5"/>
      <c r="FE252" s="5"/>
      <c r="FF252" s="5"/>
      <c r="FG252" s="5"/>
      <c r="FH252" s="5"/>
      <c r="FI252" s="5"/>
      <c r="FJ252" s="5"/>
      <c r="FK252" s="5"/>
      <c r="FL252" s="5"/>
      <c r="FM252" s="5"/>
      <c r="FN252" s="5"/>
      <c r="FO252" s="5"/>
      <c r="FP252" s="5"/>
      <c r="FQ252" s="5"/>
      <c r="FR252" s="5"/>
      <c r="FS252" s="5"/>
      <c r="FT252" s="5"/>
      <c r="FU252" s="5"/>
      <c r="FV252" s="5"/>
      <c r="FW252" s="5"/>
      <c r="FX252" s="5"/>
      <c r="FY252" s="5"/>
      <c r="FZ252" s="5"/>
      <c r="GA252" s="5"/>
      <c r="GB252" s="5"/>
      <c r="GC252" s="5"/>
      <c r="GD252" s="5"/>
      <c r="GE252" s="5"/>
      <c r="GF252" s="5"/>
      <c r="GG252" s="5"/>
      <c r="GH252" s="5"/>
      <c r="GI252" s="5"/>
      <c r="GJ252" s="5"/>
      <c r="GK252" s="5"/>
      <c r="GL252" s="5"/>
      <c r="GM252" s="5"/>
      <c r="GN252" s="5"/>
      <c r="GO252" s="5"/>
      <c r="GP252" s="5"/>
      <c r="GQ252" s="5"/>
      <c r="GR252" s="5"/>
      <c r="GS252" s="5"/>
      <c r="GT252" s="5"/>
      <c r="GU252" s="5"/>
      <c r="GV252" s="5"/>
      <c r="GW252" s="5"/>
      <c r="GX252" s="5"/>
      <c r="GY252" s="5"/>
      <c r="GZ252" s="5"/>
      <c r="HA252" s="5"/>
      <c r="HB252" s="5"/>
      <c r="HC252" s="5"/>
      <c r="HD252" s="5"/>
      <c r="HE252" s="5"/>
      <c r="HF252" s="5"/>
      <c r="HG252" s="5"/>
      <c r="HH252" s="5"/>
      <c r="HI252" s="5"/>
      <c r="HJ252" s="5"/>
      <c r="HK252" s="5"/>
      <c r="HL252" s="5"/>
      <c r="HM252" s="5"/>
      <c r="HN252" s="5"/>
      <c r="HO252" s="5"/>
      <c r="HP252" s="5"/>
      <c r="HQ252" s="5"/>
      <c r="HR252" s="5"/>
      <c r="HS252" s="5"/>
      <c r="HT252" s="5"/>
      <c r="HU252" s="5"/>
      <c r="HV252" s="5"/>
      <c r="HW252" s="5"/>
      <c r="HX252" s="5"/>
      <c r="HY252" s="5"/>
      <c r="HZ252" s="5"/>
      <c r="IA252" s="5"/>
      <c r="IB252" s="5"/>
      <c r="IC252" s="5"/>
      <c r="ID252" s="5"/>
    </row>
    <row r="253" spans="1:239" customHeight="1" ht="13.2">
      <c r="B253" s="114" t="s">
        <v>514</v>
      </c>
      <c r="C253" s="114"/>
      <c r="D253" s="114"/>
      <c r="E253" s="114"/>
      <c r="K253" s="118" t="s">
        <v>515</v>
      </c>
      <c r="L253" s="118"/>
      <c r="M253" s="118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L253" s="5"/>
      <c r="DM253" s="5"/>
      <c r="DN253" s="5"/>
      <c r="DO253" s="5"/>
      <c r="DP253" s="5"/>
      <c r="DQ253" s="5"/>
      <c r="DR253" s="5"/>
      <c r="DS253" s="5"/>
      <c r="DT253" s="5"/>
      <c r="DU253" s="5"/>
      <c r="DV253" s="5"/>
      <c r="DW253" s="5"/>
      <c r="DX253" s="5"/>
      <c r="DY253" s="5"/>
      <c r="DZ253" s="5"/>
      <c r="EA253" s="5"/>
      <c r="EB253" s="5"/>
      <c r="EC253" s="5"/>
      <c r="ED253" s="5"/>
      <c r="EE253" s="5"/>
      <c r="EF253" s="5"/>
      <c r="EG253" s="5"/>
      <c r="EH253" s="5"/>
      <c r="EI253" s="5"/>
      <c r="EJ253" s="5"/>
      <c r="EK253" s="5"/>
      <c r="EL253" s="5"/>
      <c r="EM253" s="5"/>
      <c r="EN253" s="5"/>
      <c r="EO253" s="5"/>
      <c r="EP253" s="5"/>
      <c r="EQ253" s="5"/>
      <c r="ER253" s="5"/>
      <c r="ES253" s="5"/>
      <c r="ET253" s="5"/>
      <c r="EU253" s="5"/>
      <c r="EV253" s="5"/>
      <c r="EW253" s="5"/>
      <c r="EX253" s="5"/>
      <c r="EY253" s="5"/>
      <c r="EZ253" s="5"/>
      <c r="FA253" s="5"/>
      <c r="FB253" s="5"/>
      <c r="FC253" s="5"/>
      <c r="FD253" s="5"/>
      <c r="FE253" s="5"/>
      <c r="FF253" s="5"/>
      <c r="FG253" s="5"/>
      <c r="FH253" s="5"/>
      <c r="FI253" s="5"/>
      <c r="FJ253" s="5"/>
      <c r="FK253" s="5"/>
      <c r="FL253" s="5"/>
      <c r="FM253" s="5"/>
      <c r="FN253" s="5"/>
      <c r="FO253" s="5"/>
      <c r="FP253" s="5"/>
      <c r="FQ253" s="5"/>
      <c r="FR253" s="5"/>
      <c r="FS253" s="5"/>
      <c r="FT253" s="5"/>
      <c r="FU253" s="5"/>
      <c r="FV253" s="5"/>
      <c r="FW253" s="5"/>
      <c r="FX253" s="5"/>
      <c r="FY253" s="5"/>
      <c r="FZ253" s="5"/>
      <c r="GA253" s="5"/>
      <c r="GB253" s="5"/>
      <c r="GC253" s="5"/>
      <c r="GD253" s="5"/>
      <c r="GE253" s="5"/>
      <c r="GF253" s="5"/>
      <c r="GG253" s="5"/>
      <c r="GH253" s="5"/>
      <c r="GI253" s="5"/>
      <c r="GJ253" s="5"/>
      <c r="GK253" s="5"/>
      <c r="GL253" s="5"/>
      <c r="GM253" s="5"/>
      <c r="GN253" s="5"/>
      <c r="GO253" s="5"/>
      <c r="GP253" s="5"/>
      <c r="GQ253" s="5"/>
      <c r="GR253" s="5"/>
      <c r="GS253" s="5"/>
      <c r="GT253" s="5"/>
      <c r="GU253" s="5"/>
      <c r="GV253" s="5"/>
      <c r="GW253" s="5"/>
      <c r="GX253" s="5"/>
      <c r="GY253" s="5"/>
      <c r="GZ253" s="5"/>
      <c r="HA253" s="5"/>
      <c r="HB253" s="5"/>
      <c r="HC253" s="5"/>
      <c r="HD253" s="5"/>
      <c r="HE253" s="5"/>
      <c r="HF253" s="5"/>
      <c r="HG253" s="5"/>
      <c r="HH253" s="5"/>
      <c r="HI253" s="5"/>
      <c r="HJ253" s="5"/>
      <c r="HK253" s="5"/>
      <c r="HL253" s="5"/>
      <c r="HM253" s="5"/>
      <c r="HN253" s="5"/>
      <c r="HO253" s="5"/>
      <c r="HP253" s="5"/>
      <c r="HQ253" s="5"/>
      <c r="HR253" s="5"/>
      <c r="HS253" s="5"/>
      <c r="HT253" s="5"/>
      <c r="HU253" s="5"/>
      <c r="HV253" s="5"/>
      <c r="HW253" s="5"/>
      <c r="HX253" s="5"/>
      <c r="HY253" s="5"/>
      <c r="HZ253" s="5"/>
      <c r="IA253" s="5"/>
      <c r="IB253" s="5"/>
      <c r="IC253" s="5"/>
      <c r="ID253" s="5"/>
    </row>
    <row r="254" spans="1:239" customHeight="1" ht="13.2">
      <c r="B254" s="115" t="s">
        <v>516</v>
      </c>
      <c r="C254" s="115"/>
      <c r="D254" s="115"/>
      <c r="E254" s="115"/>
      <c r="K254" s="110" t="s">
        <v>517</v>
      </c>
      <c r="L254" s="110"/>
      <c r="M254" s="110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L254" s="5"/>
      <c r="DM254" s="5"/>
      <c r="DN254" s="5"/>
      <c r="DO254" s="5"/>
      <c r="DP254" s="5"/>
      <c r="DQ254" s="5"/>
      <c r="DR254" s="5"/>
      <c r="DS254" s="5"/>
      <c r="DT254" s="5"/>
      <c r="DU254" s="5"/>
      <c r="DV254" s="5"/>
      <c r="DW254" s="5"/>
      <c r="DX254" s="5"/>
      <c r="DY254" s="5"/>
      <c r="DZ254" s="5"/>
      <c r="EA254" s="5"/>
      <c r="EB254" s="5"/>
      <c r="EC254" s="5"/>
      <c r="ED254" s="5"/>
      <c r="EE254" s="5"/>
      <c r="EF254" s="5"/>
      <c r="EG254" s="5"/>
      <c r="EH254" s="5"/>
      <c r="EI254" s="5"/>
      <c r="EJ254" s="5"/>
      <c r="EK254" s="5"/>
      <c r="EL254" s="5"/>
      <c r="EM254" s="5"/>
      <c r="EN254" s="5"/>
      <c r="EO254" s="5"/>
      <c r="EP254" s="5"/>
      <c r="EQ254" s="5"/>
      <c r="ER254" s="5"/>
      <c r="ES254" s="5"/>
      <c r="ET254" s="5"/>
      <c r="EU254" s="5"/>
      <c r="EV254" s="5"/>
      <c r="EW254" s="5"/>
      <c r="EX254" s="5"/>
      <c r="EY254" s="5"/>
      <c r="EZ254" s="5"/>
      <c r="FA254" s="5"/>
      <c r="FB254" s="5"/>
      <c r="FC254" s="5"/>
      <c r="FD254" s="5"/>
      <c r="FE254" s="5"/>
      <c r="FF254" s="5"/>
      <c r="FG254" s="5"/>
      <c r="FH254" s="5"/>
      <c r="FI254" s="5"/>
      <c r="FJ254" s="5"/>
      <c r="FK254" s="5"/>
      <c r="FL254" s="5"/>
      <c r="FM254" s="5"/>
      <c r="FN254" s="5"/>
      <c r="FO254" s="5"/>
      <c r="FP254" s="5"/>
      <c r="FQ254" s="5"/>
      <c r="FR254" s="5"/>
      <c r="FS254" s="5"/>
      <c r="FT254" s="5"/>
      <c r="FU254" s="5"/>
      <c r="FV254" s="5"/>
      <c r="FW254" s="5"/>
      <c r="FX254" s="5"/>
      <c r="FY254" s="5"/>
      <c r="FZ254" s="5"/>
      <c r="GA254" s="5"/>
      <c r="GB254" s="5"/>
      <c r="GC254" s="5"/>
      <c r="GD254" s="5"/>
      <c r="GE254" s="5"/>
      <c r="GF254" s="5"/>
      <c r="GG254" s="5"/>
      <c r="GH254" s="5"/>
      <c r="GI254" s="5"/>
      <c r="GJ254" s="5"/>
      <c r="GK254" s="5"/>
      <c r="GL254" s="5"/>
      <c r="GM254" s="5"/>
      <c r="GN254" s="5"/>
      <c r="GO254" s="5"/>
      <c r="GP254" s="5"/>
      <c r="GQ254" s="5"/>
      <c r="GR254" s="5"/>
      <c r="GS254" s="5"/>
      <c r="GT254" s="5"/>
      <c r="GU254" s="5"/>
      <c r="GV254" s="5"/>
      <c r="GW254" s="5"/>
      <c r="GX254" s="5"/>
      <c r="GY254" s="5"/>
      <c r="GZ254" s="5"/>
      <c r="HA254" s="5"/>
      <c r="HB254" s="5"/>
      <c r="HC254" s="5"/>
      <c r="HD254" s="5"/>
      <c r="HE254" s="5"/>
      <c r="HF254" s="5"/>
      <c r="HG254" s="5"/>
      <c r="HH254" s="5"/>
      <c r="HI254" s="5"/>
      <c r="HJ254" s="5"/>
      <c r="HK254" s="5"/>
      <c r="HL254" s="5"/>
      <c r="HM254" s="5"/>
      <c r="HN254" s="5"/>
      <c r="HO254" s="5"/>
      <c r="HP254" s="5"/>
      <c r="HQ254" s="5"/>
      <c r="HR254" s="5"/>
      <c r="HS254" s="5"/>
      <c r="HT254" s="5"/>
      <c r="HU254" s="5"/>
      <c r="HV254" s="5"/>
      <c r="HW254" s="5"/>
      <c r="HX254" s="5"/>
      <c r="HY254" s="5"/>
      <c r="HZ254" s="5"/>
      <c r="IA254" s="5"/>
      <c r="IB254" s="5"/>
      <c r="IC254" s="5"/>
      <c r="ID254" s="5"/>
    </row>
    <row r="255" spans="1:239" customHeight="1" ht="13.2">
      <c r="A255" s="112" t="s">
        <v>518</v>
      </c>
      <c r="B255" s="112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L255" s="5"/>
      <c r="DM255" s="5"/>
      <c r="DN255" s="5"/>
      <c r="DO255" s="5"/>
      <c r="DP255" s="5"/>
      <c r="DQ255" s="5"/>
      <c r="DR255" s="5"/>
      <c r="DS255" s="5"/>
      <c r="DT255" s="5"/>
      <c r="DU255" s="5"/>
      <c r="DV255" s="5"/>
      <c r="DW255" s="5"/>
      <c r="DX255" s="5"/>
      <c r="DY255" s="5"/>
      <c r="DZ255" s="5"/>
      <c r="EA255" s="5"/>
      <c r="EB255" s="5"/>
      <c r="EC255" s="5"/>
      <c r="ED255" s="5"/>
      <c r="EE255" s="5"/>
      <c r="EF255" s="5"/>
      <c r="EG255" s="5"/>
      <c r="EH255" s="5"/>
      <c r="EI255" s="5"/>
      <c r="EJ255" s="5"/>
      <c r="EK255" s="5"/>
      <c r="EL255" s="5"/>
      <c r="EM255" s="5"/>
      <c r="EN255" s="5"/>
      <c r="EO255" s="5"/>
      <c r="EP255" s="5"/>
      <c r="EQ255" s="5"/>
      <c r="ER255" s="5"/>
      <c r="ES255" s="5"/>
      <c r="ET255" s="5"/>
      <c r="EU255" s="5"/>
      <c r="EV255" s="5"/>
      <c r="EW255" s="5"/>
      <c r="EX255" s="5"/>
      <c r="EY255" s="5"/>
      <c r="EZ255" s="5"/>
      <c r="FA255" s="5"/>
      <c r="FB255" s="5"/>
      <c r="FC255" s="5"/>
      <c r="FD255" s="5"/>
      <c r="FE255" s="5"/>
      <c r="FF255" s="5"/>
      <c r="FG255" s="5"/>
      <c r="FH255" s="5"/>
      <c r="FI255" s="5"/>
      <c r="FJ255" s="5"/>
      <c r="FK255" s="5"/>
      <c r="FL255" s="5"/>
      <c r="FM255" s="5"/>
      <c r="FN255" s="5"/>
      <c r="FO255" s="5"/>
      <c r="FP255" s="5"/>
      <c r="FQ255" s="5"/>
      <c r="FR255" s="5"/>
      <c r="FS255" s="5"/>
      <c r="FT255" s="5"/>
      <c r="FU255" s="5"/>
      <c r="FV255" s="5"/>
      <c r="FW255" s="5"/>
      <c r="FX255" s="5"/>
      <c r="FY255" s="5"/>
      <c r="FZ255" s="5"/>
      <c r="GA255" s="5"/>
      <c r="GB255" s="5"/>
      <c r="GC255" s="5"/>
      <c r="GD255" s="5"/>
      <c r="GE255" s="5"/>
      <c r="GF255" s="5"/>
      <c r="GG255" s="5"/>
      <c r="GH255" s="5"/>
      <c r="GI255" s="5"/>
      <c r="GJ255" s="5"/>
      <c r="GK255" s="5"/>
      <c r="GL255" s="5"/>
      <c r="GM255" s="5"/>
      <c r="GN255" s="5"/>
      <c r="GO255" s="5"/>
      <c r="GP255" s="5"/>
      <c r="GQ255" s="5"/>
      <c r="GR255" s="5"/>
      <c r="GS255" s="5"/>
      <c r="GT255" s="5"/>
      <c r="GU255" s="5"/>
      <c r="GV255" s="5"/>
      <c r="GW255" s="5"/>
      <c r="GX255" s="5"/>
      <c r="GY255" s="5"/>
      <c r="GZ255" s="5"/>
      <c r="HA255" s="5"/>
      <c r="HB255" s="5"/>
      <c r="HC255" s="5"/>
      <c r="HD255" s="5"/>
      <c r="HE255" s="5"/>
      <c r="HF255" s="5"/>
      <c r="HG255" s="5"/>
      <c r="HH255" s="5"/>
      <c r="HI255" s="5"/>
      <c r="HJ255" s="5"/>
      <c r="HK255" s="5"/>
      <c r="HL255" s="5"/>
      <c r="HM255" s="5"/>
      <c r="HN255" s="5"/>
      <c r="HO255" s="5"/>
      <c r="HP255" s="5"/>
      <c r="HQ255" s="5"/>
      <c r="HR255" s="5"/>
      <c r="HS255" s="5"/>
      <c r="HT255" s="5"/>
      <c r="HU255" s="5"/>
      <c r="HV255" s="5"/>
      <c r="HW255" s="5"/>
      <c r="HX255" s="5"/>
      <c r="HY255" s="5"/>
      <c r="HZ255" s="5"/>
      <c r="IA255" s="5"/>
      <c r="IB255" s="5"/>
      <c r="IC255" s="5"/>
      <c r="ID255" s="5"/>
    </row>
    <row r="256" spans="1:239" customHeight="1" ht="13.2">
      <c r="E256" s="5"/>
      <c r="F256" s="5"/>
      <c r="G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L256" s="5"/>
      <c r="DM256" s="5"/>
      <c r="DN256" s="5"/>
      <c r="DO256" s="5"/>
      <c r="DP256" s="5"/>
      <c r="DQ256" s="5"/>
      <c r="DR256" s="5"/>
      <c r="DS256" s="5"/>
      <c r="DT256" s="5"/>
      <c r="DU256" s="5"/>
      <c r="DV256" s="5"/>
      <c r="DW256" s="5"/>
      <c r="DX256" s="5"/>
      <c r="DY256" s="5"/>
      <c r="DZ256" s="5"/>
      <c r="EA256" s="5"/>
      <c r="EB256" s="5"/>
      <c r="EC256" s="5"/>
      <c r="ED256" s="5"/>
      <c r="EE256" s="5"/>
      <c r="EF256" s="5"/>
      <c r="EG256" s="5"/>
      <c r="EH256" s="5"/>
      <c r="EI256" s="5"/>
      <c r="EJ256" s="5"/>
      <c r="EK256" s="5"/>
      <c r="EL256" s="5"/>
      <c r="EM256" s="5"/>
      <c r="EN256" s="5"/>
      <c r="EO256" s="5"/>
      <c r="EP256" s="5"/>
      <c r="EQ256" s="5"/>
      <c r="ER256" s="5"/>
      <c r="ES256" s="5"/>
      <c r="ET256" s="5"/>
      <c r="EU256" s="5"/>
      <c r="EV256" s="5"/>
      <c r="EW256" s="5"/>
      <c r="EX256" s="5"/>
      <c r="EY256" s="5"/>
      <c r="EZ256" s="5"/>
      <c r="FA256" s="5"/>
      <c r="FB256" s="5"/>
      <c r="FC256" s="5"/>
      <c r="FD256" s="5"/>
      <c r="FE256" s="5"/>
      <c r="FF256" s="5"/>
      <c r="FG256" s="5"/>
      <c r="FH256" s="5"/>
      <c r="FI256" s="5"/>
      <c r="FJ256" s="5"/>
      <c r="FK256" s="5"/>
      <c r="FL256" s="5"/>
      <c r="FM256" s="5"/>
      <c r="FN256" s="5"/>
      <c r="FO256" s="5"/>
      <c r="FP256" s="5"/>
      <c r="FQ256" s="5"/>
      <c r="FR256" s="5"/>
      <c r="FS256" s="5"/>
      <c r="FT256" s="5"/>
      <c r="FU256" s="5"/>
      <c r="FV256" s="5"/>
      <c r="FW256" s="5"/>
      <c r="FX256" s="5"/>
      <c r="FY256" s="5"/>
      <c r="FZ256" s="5"/>
      <c r="GA256" s="5"/>
      <c r="GB256" s="5"/>
      <c r="GC256" s="5"/>
      <c r="GD256" s="5"/>
      <c r="GE256" s="5"/>
      <c r="GF256" s="5"/>
      <c r="GG256" s="5"/>
      <c r="GH256" s="5"/>
      <c r="GI256" s="5"/>
      <c r="GJ256" s="5"/>
      <c r="GK256" s="5"/>
      <c r="GL256" s="5"/>
      <c r="GM256" s="5"/>
      <c r="GN256" s="5"/>
      <c r="GO256" s="5"/>
      <c r="GP256" s="5"/>
      <c r="GQ256" s="5"/>
      <c r="GR256" s="5"/>
      <c r="GS256" s="5"/>
      <c r="GT256" s="5"/>
      <c r="GU256" s="5"/>
      <c r="GV256" s="5"/>
      <c r="GW256" s="5"/>
      <c r="GX256" s="5"/>
      <c r="GY256" s="5"/>
      <c r="GZ256" s="5"/>
      <c r="HA256" s="5"/>
      <c r="HB256" s="5"/>
      <c r="HC256" s="5"/>
      <c r="HD256" s="5"/>
      <c r="HE256" s="5"/>
      <c r="HF256" s="5"/>
      <c r="HG256" s="5"/>
      <c r="HH256" s="5"/>
      <c r="HI256" s="5"/>
      <c r="HJ256" s="5"/>
      <c r="HK256" s="5"/>
      <c r="HL256" s="5"/>
      <c r="HM256" s="5"/>
      <c r="HN256" s="5"/>
      <c r="HO256" s="5"/>
      <c r="HP256" s="5"/>
      <c r="HQ256" s="5"/>
      <c r="HR256" s="5"/>
      <c r="HS256" s="5"/>
      <c r="HT256" s="5"/>
      <c r="HU256" s="5"/>
      <c r="HV256" s="5"/>
      <c r="HW256" s="5"/>
      <c r="HX256" s="5"/>
      <c r="HY256" s="5"/>
      <c r="HZ256" s="5"/>
      <c r="IA256" s="5"/>
      <c r="IB256" s="5"/>
      <c r="IC256" s="5"/>
      <c r="ID256" s="5"/>
    </row>
    <row r="257" spans="1:239" customHeight="1" ht="13.2"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L257" s="5"/>
      <c r="DM257" s="5"/>
      <c r="DN257" s="5"/>
      <c r="DO257" s="5"/>
      <c r="DP257" s="5"/>
      <c r="DQ257" s="5"/>
      <c r="DR257" s="5"/>
      <c r="DS257" s="5"/>
      <c r="DT257" s="5"/>
      <c r="DU257" s="5"/>
      <c r="DV257" s="5"/>
      <c r="DW257" s="5"/>
      <c r="DX257" s="5"/>
      <c r="DY257" s="5"/>
      <c r="DZ257" s="5"/>
      <c r="EA257" s="5"/>
      <c r="EB257" s="5"/>
      <c r="EC257" s="5"/>
      <c r="ED257" s="5"/>
      <c r="EE257" s="5"/>
      <c r="EF257" s="5"/>
      <c r="EG257" s="5"/>
      <c r="EH257" s="5"/>
      <c r="EI257" s="5"/>
      <c r="EJ257" s="5"/>
      <c r="EK257" s="5"/>
      <c r="EL257" s="5"/>
      <c r="EM257" s="5"/>
      <c r="EN257" s="5"/>
      <c r="EO257" s="5"/>
      <c r="EP257" s="5"/>
      <c r="EQ257" s="5"/>
      <c r="ER257" s="5"/>
      <c r="ES257" s="5"/>
      <c r="ET257" s="5"/>
      <c r="EU257" s="5"/>
      <c r="EV257" s="5"/>
      <c r="EW257" s="5"/>
      <c r="EX257" s="5"/>
      <c r="EY257" s="5"/>
      <c r="EZ257" s="5"/>
      <c r="FA257" s="5"/>
      <c r="FB257" s="5"/>
      <c r="FC257" s="5"/>
      <c r="FD257" s="5"/>
      <c r="FE257" s="5"/>
      <c r="FF257" s="5"/>
      <c r="FG257" s="5"/>
      <c r="FH257" s="5"/>
      <c r="FI257" s="5"/>
      <c r="FJ257" s="5"/>
      <c r="FK257" s="5"/>
      <c r="FL257" s="5"/>
      <c r="FM257" s="5"/>
      <c r="FN257" s="5"/>
      <c r="FO257" s="5"/>
      <c r="FP257" s="5"/>
      <c r="FQ257" s="5"/>
      <c r="FR257" s="5"/>
      <c r="FS257" s="5"/>
      <c r="FT257" s="5"/>
      <c r="FU257" s="5"/>
      <c r="FV257" s="5"/>
      <c r="FW257" s="5"/>
      <c r="FX257" s="5"/>
      <c r="FY257" s="5"/>
      <c r="FZ257" s="5"/>
      <c r="GA257" s="5"/>
      <c r="GB257" s="5"/>
      <c r="GC257" s="5"/>
      <c r="GD257" s="5"/>
      <c r="GE257" s="5"/>
      <c r="GF257" s="5"/>
      <c r="GG257" s="5"/>
      <c r="GH257" s="5"/>
      <c r="GI257" s="5"/>
      <c r="GJ257" s="5"/>
      <c r="GK257" s="5"/>
      <c r="GL257" s="5"/>
      <c r="GM257" s="5"/>
      <c r="GN257" s="5"/>
      <c r="GO257" s="5"/>
      <c r="GP257" s="5"/>
      <c r="GQ257" s="5"/>
      <c r="GR257" s="5"/>
      <c r="GS257" s="5"/>
      <c r="GT257" s="5"/>
      <c r="GU257" s="5"/>
      <c r="GV257" s="5"/>
      <c r="GW257" s="5"/>
      <c r="GX257" s="5"/>
      <c r="GY257" s="5"/>
      <c r="GZ257" s="5"/>
      <c r="HA257" s="5"/>
      <c r="HB257" s="5"/>
      <c r="HC257" s="5"/>
      <c r="HD257" s="5"/>
      <c r="HE257" s="5"/>
      <c r="HF257" s="5"/>
      <c r="HG257" s="5"/>
      <c r="HH257" s="5"/>
      <c r="HI257" s="5"/>
      <c r="HJ257" s="5"/>
      <c r="HK257" s="5"/>
      <c r="HL257" s="5"/>
      <c r="HM257" s="5"/>
      <c r="HN257" s="5"/>
      <c r="HO257" s="5"/>
      <c r="HP257" s="5"/>
      <c r="HQ257" s="5"/>
      <c r="HR257" s="5"/>
      <c r="HS257" s="5"/>
      <c r="HT257" s="5"/>
      <c r="HU257" s="5"/>
      <c r="HV257" s="5"/>
      <c r="HW257" s="5"/>
      <c r="HX257" s="5"/>
      <c r="HY257" s="5"/>
      <c r="HZ257" s="5"/>
      <c r="IA257" s="5"/>
      <c r="IB257" s="5"/>
      <c r="IC257" s="5"/>
      <c r="ID257" s="5"/>
    </row>
    <row r="258" spans="1:239" customHeight="1" ht="13.2"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/>
      <c r="CX258" s="5"/>
      <c r="CY258" s="5"/>
      <c r="CZ258" s="5"/>
      <c r="DA258" s="5"/>
      <c r="DB258" s="5"/>
      <c r="DC258" s="5"/>
      <c r="DD258" s="5"/>
      <c r="DE258" s="5"/>
      <c r="DF258" s="5"/>
      <c r="DG258" s="5"/>
      <c r="DH258" s="5"/>
      <c r="DI258" s="5"/>
      <c r="DJ258" s="5"/>
      <c r="DK258" s="5"/>
      <c r="DL258" s="5"/>
      <c r="DM258" s="5"/>
      <c r="DN258" s="5"/>
      <c r="DO258" s="5"/>
      <c r="DP258" s="5"/>
      <c r="DQ258" s="5"/>
      <c r="DR258" s="5"/>
      <c r="DS258" s="5"/>
      <c r="DT258" s="5"/>
      <c r="DU258" s="5"/>
      <c r="DV258" s="5"/>
      <c r="DW258" s="5"/>
      <c r="DX258" s="5"/>
      <c r="DY258" s="5"/>
      <c r="DZ258" s="5"/>
      <c r="EA258" s="5"/>
      <c r="EB258" s="5"/>
      <c r="EC258" s="5"/>
      <c r="ED258" s="5"/>
      <c r="EE258" s="5"/>
      <c r="EF258" s="5"/>
      <c r="EG258" s="5"/>
      <c r="EH258" s="5"/>
      <c r="EI258" s="5"/>
      <c r="EJ258" s="5"/>
      <c r="EK258" s="5"/>
      <c r="EL258" s="5"/>
      <c r="EM258" s="5"/>
      <c r="EN258" s="5"/>
      <c r="EO258" s="5"/>
      <c r="EP258" s="5"/>
      <c r="EQ258" s="5"/>
      <c r="ER258" s="5"/>
      <c r="ES258" s="5"/>
      <c r="ET258" s="5"/>
      <c r="EU258" s="5"/>
      <c r="EV258" s="5"/>
      <c r="EW258" s="5"/>
      <c r="EX258" s="5"/>
      <c r="EY258" s="5"/>
      <c r="EZ258" s="5"/>
      <c r="FA258" s="5"/>
      <c r="FB258" s="5"/>
      <c r="FC258" s="5"/>
      <c r="FD258" s="5"/>
      <c r="FE258" s="5"/>
      <c r="FF258" s="5"/>
      <c r="FG258" s="5"/>
      <c r="FH258" s="5"/>
      <c r="FI258" s="5"/>
      <c r="FJ258" s="5"/>
      <c r="FK258" s="5"/>
      <c r="FL258" s="5"/>
      <c r="FM258" s="5"/>
      <c r="FN258" s="5"/>
      <c r="FO258" s="5"/>
      <c r="FP258" s="5"/>
      <c r="FQ258" s="5"/>
      <c r="FR258" s="5"/>
      <c r="FS258" s="5"/>
      <c r="FT258" s="5"/>
      <c r="FU258" s="5"/>
      <c r="FV258" s="5"/>
      <c r="FW258" s="5"/>
      <c r="FX258" s="5"/>
      <c r="FY258" s="5"/>
      <c r="FZ258" s="5"/>
      <c r="GA258" s="5"/>
      <c r="GB258" s="5"/>
      <c r="GC258" s="5"/>
      <c r="GD258" s="5"/>
      <c r="GE258" s="5"/>
      <c r="GF258" s="5"/>
      <c r="GG258" s="5"/>
      <c r="GH258" s="5"/>
      <c r="GI258" s="5"/>
      <c r="GJ258" s="5"/>
      <c r="GK258" s="5"/>
      <c r="GL258" s="5"/>
      <c r="GM258" s="5"/>
      <c r="GN258" s="5"/>
      <c r="GO258" s="5"/>
      <c r="GP258" s="5"/>
      <c r="GQ258" s="5"/>
      <c r="GR258" s="5"/>
      <c r="GS258" s="5"/>
      <c r="GT258" s="5"/>
      <c r="GU258" s="5"/>
      <c r="GV258" s="5"/>
      <c r="GW258" s="5"/>
      <c r="GX258" s="5"/>
      <c r="GY258" s="5"/>
      <c r="GZ258" s="5"/>
      <c r="HA258" s="5"/>
      <c r="HB258" s="5"/>
      <c r="HC258" s="5"/>
      <c r="HD258" s="5"/>
      <c r="HE258" s="5"/>
      <c r="HF258" s="5"/>
      <c r="HG258" s="5"/>
      <c r="HH258" s="5"/>
      <c r="HI258" s="5"/>
      <c r="HJ258" s="5"/>
      <c r="HK258" s="5"/>
      <c r="HL258" s="5"/>
      <c r="HM258" s="5"/>
      <c r="HN258" s="5"/>
      <c r="HO258" s="5"/>
      <c r="HP258" s="5"/>
      <c r="HQ258" s="5"/>
      <c r="HR258" s="5"/>
      <c r="HS258" s="5"/>
      <c r="HT258" s="5"/>
      <c r="HU258" s="5"/>
      <c r="HV258" s="5"/>
      <c r="HW258" s="5"/>
      <c r="HX258" s="5"/>
      <c r="HY258" s="5"/>
      <c r="HZ258" s="5"/>
      <c r="IA258" s="5"/>
      <c r="IB258" s="5"/>
      <c r="IC258" s="5"/>
      <c r="ID258" s="5"/>
    </row>
    <row r="259" spans="1:239" customHeight="1" ht="13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5"/>
      <c r="CS259" s="5"/>
      <c r="CT259" s="5"/>
      <c r="CU259" s="5"/>
      <c r="CV259" s="5"/>
      <c r="CW259" s="5"/>
      <c r="CX259" s="5"/>
      <c r="CY259" s="5"/>
      <c r="CZ259" s="5"/>
      <c r="DA259" s="5"/>
      <c r="DB259" s="5"/>
      <c r="DC259" s="5"/>
      <c r="DD259" s="5"/>
      <c r="DE259" s="5"/>
      <c r="DF259" s="5"/>
      <c r="DG259" s="5"/>
      <c r="DH259" s="5"/>
      <c r="DI259" s="5"/>
      <c r="DJ259" s="5"/>
      <c r="DK259" s="5"/>
      <c r="DL259" s="5"/>
      <c r="DM259" s="5"/>
      <c r="DN259" s="5"/>
      <c r="DO259" s="5"/>
      <c r="DP259" s="5"/>
      <c r="DQ259" s="5"/>
      <c r="DR259" s="5"/>
      <c r="DS259" s="5"/>
      <c r="DT259" s="5"/>
      <c r="DU259" s="5"/>
      <c r="DV259" s="5"/>
      <c r="DW259" s="5"/>
      <c r="DX259" s="5"/>
      <c r="DY259" s="5"/>
      <c r="DZ259" s="5"/>
      <c r="EA259" s="5"/>
      <c r="EB259" s="5"/>
      <c r="EC259" s="5"/>
      <c r="ED259" s="5"/>
      <c r="EE259" s="5"/>
      <c r="EF259" s="5"/>
      <c r="EG259" s="5"/>
      <c r="EH259" s="5"/>
      <c r="EI259" s="5"/>
      <c r="EJ259" s="5"/>
      <c r="EK259" s="5"/>
      <c r="EL259" s="5"/>
      <c r="EM259" s="5"/>
      <c r="EN259" s="5"/>
      <c r="EO259" s="5"/>
      <c r="EP259" s="5"/>
      <c r="EQ259" s="5"/>
      <c r="ER259" s="5"/>
      <c r="ES259" s="5"/>
      <c r="ET259" s="5"/>
      <c r="EU259" s="5"/>
      <c r="EV259" s="5"/>
      <c r="EW259" s="5"/>
      <c r="EX259" s="5"/>
      <c r="EY259" s="5"/>
      <c r="EZ259" s="5"/>
      <c r="FA259" s="5"/>
      <c r="FB259" s="5"/>
      <c r="FC259" s="5"/>
      <c r="FD259" s="5"/>
      <c r="FE259" s="5"/>
      <c r="FF259" s="5"/>
      <c r="FG259" s="5"/>
      <c r="FH259" s="5"/>
      <c r="FI259" s="5"/>
      <c r="FJ259" s="5"/>
      <c r="FK259" s="5"/>
      <c r="FL259" s="5"/>
      <c r="FM259" s="5"/>
      <c r="FN259" s="5"/>
      <c r="FO259" s="5"/>
      <c r="FP259" s="5"/>
      <c r="FQ259" s="5"/>
      <c r="FR259" s="5"/>
      <c r="FS259" s="5"/>
      <c r="FT259" s="5"/>
      <c r="FU259" s="5"/>
      <c r="FV259" s="5"/>
      <c r="FW259" s="5"/>
      <c r="FX259" s="5"/>
      <c r="FY259" s="5"/>
      <c r="FZ259" s="5"/>
      <c r="GA259" s="5"/>
      <c r="GB259" s="5"/>
      <c r="GC259" s="5"/>
      <c r="GD259" s="5"/>
      <c r="GE259" s="5"/>
      <c r="GF259" s="5"/>
      <c r="GG259" s="5"/>
      <c r="GH259" s="5"/>
      <c r="GI259" s="5"/>
      <c r="GJ259" s="5"/>
      <c r="GK259" s="5"/>
      <c r="GL259" s="5"/>
      <c r="GM259" s="5"/>
      <c r="GN259" s="5"/>
      <c r="GO259" s="5"/>
      <c r="GP259" s="5"/>
      <c r="GQ259" s="5"/>
      <c r="GR259" s="5"/>
      <c r="GS259" s="5"/>
      <c r="GT259" s="5"/>
      <c r="GU259" s="5"/>
      <c r="GV259" s="5"/>
      <c r="GW259" s="5"/>
      <c r="GX259" s="5"/>
      <c r="GY259" s="5"/>
      <c r="GZ259" s="5"/>
      <c r="HA259" s="5"/>
      <c r="HB259" s="5"/>
      <c r="HC259" s="5"/>
      <c r="HD259" s="5"/>
      <c r="HE259" s="5"/>
      <c r="HF259" s="5"/>
      <c r="HG259" s="5"/>
      <c r="HH259" s="5"/>
      <c r="HI259" s="5"/>
      <c r="HJ259" s="5"/>
      <c r="HK259" s="5"/>
      <c r="HL259" s="5"/>
      <c r="HM259" s="5"/>
      <c r="HN259" s="5"/>
      <c r="HO259" s="5"/>
      <c r="HP259" s="5"/>
      <c r="HQ259" s="5"/>
      <c r="HR259" s="5"/>
      <c r="HS259" s="5"/>
      <c r="HT259" s="5"/>
      <c r="HU259" s="5"/>
      <c r="HV259" s="5"/>
      <c r="HW259" s="5"/>
      <c r="HX259" s="5"/>
      <c r="HY259" s="5"/>
      <c r="HZ259" s="5"/>
      <c r="IA259" s="5"/>
      <c r="IB259" s="5"/>
      <c r="IC259" s="5"/>
      <c r="ID259" s="5"/>
    </row>
    <row r="260" spans="1:239" customHeight="1" ht="13.2"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5"/>
      <c r="CS260" s="5"/>
      <c r="CT260" s="5"/>
      <c r="CU260" s="5"/>
      <c r="CV260" s="5"/>
      <c r="CW260" s="5"/>
      <c r="CX260" s="5"/>
      <c r="CY260" s="5"/>
      <c r="CZ260" s="5"/>
      <c r="DA260" s="5"/>
      <c r="DB260" s="5"/>
      <c r="DC260" s="5"/>
      <c r="DD260" s="5"/>
      <c r="DE260" s="5"/>
      <c r="DF260" s="5"/>
      <c r="DG260" s="5"/>
      <c r="DH260" s="5"/>
      <c r="DI260" s="5"/>
      <c r="DJ260" s="5"/>
      <c r="DK260" s="5"/>
      <c r="DL260" s="5"/>
      <c r="DM260" s="5"/>
      <c r="DN260" s="5"/>
      <c r="DO260" s="5"/>
      <c r="DP260" s="5"/>
      <c r="DQ260" s="5"/>
      <c r="DR260" s="5"/>
      <c r="DS260" s="5"/>
      <c r="DT260" s="5"/>
      <c r="DU260" s="5"/>
      <c r="DV260" s="5"/>
      <c r="DW260" s="5"/>
      <c r="DX260" s="5"/>
      <c r="DY260" s="5"/>
      <c r="DZ260" s="5"/>
      <c r="EA260" s="5"/>
      <c r="EB260" s="5"/>
      <c r="EC260" s="5"/>
      <c r="ED260" s="5"/>
      <c r="EE260" s="5"/>
      <c r="EF260" s="5"/>
      <c r="EG260" s="5"/>
      <c r="EH260" s="5"/>
      <c r="EI260" s="5"/>
      <c r="EJ260" s="5"/>
      <c r="EK260" s="5"/>
      <c r="EL260" s="5"/>
      <c r="EM260" s="5"/>
      <c r="EN260" s="5"/>
      <c r="EO260" s="5"/>
      <c r="EP260" s="5"/>
      <c r="EQ260" s="5"/>
      <c r="ER260" s="5"/>
      <c r="ES260" s="5"/>
      <c r="ET260" s="5"/>
      <c r="EU260" s="5"/>
      <c r="EV260" s="5"/>
      <c r="EW260" s="5"/>
      <c r="EX260" s="5"/>
      <c r="EY260" s="5"/>
      <c r="EZ260" s="5"/>
      <c r="FA260" s="5"/>
      <c r="FB260" s="5"/>
      <c r="FC260" s="5"/>
      <c r="FD260" s="5"/>
      <c r="FE260" s="5"/>
      <c r="FF260" s="5"/>
      <c r="FG260" s="5"/>
      <c r="FH260" s="5"/>
      <c r="FI260" s="5"/>
      <c r="FJ260" s="5"/>
      <c r="FK260" s="5"/>
      <c r="FL260" s="5"/>
      <c r="FM260" s="5"/>
      <c r="FN260" s="5"/>
      <c r="FO260" s="5"/>
      <c r="FP260" s="5"/>
      <c r="FQ260" s="5"/>
      <c r="FR260" s="5"/>
      <c r="FS260" s="5"/>
      <c r="FT260" s="5"/>
      <c r="FU260" s="5"/>
      <c r="FV260" s="5"/>
      <c r="FW260" s="5"/>
      <c r="FX260" s="5"/>
      <c r="FY260" s="5"/>
      <c r="FZ260" s="5"/>
      <c r="GA260" s="5"/>
      <c r="GB260" s="5"/>
      <c r="GC260" s="5"/>
      <c r="GD260" s="5"/>
      <c r="GE260" s="5"/>
      <c r="GF260" s="5"/>
      <c r="GG260" s="5"/>
      <c r="GH260" s="5"/>
      <c r="GI260" s="5"/>
      <c r="GJ260" s="5"/>
      <c r="GK260" s="5"/>
      <c r="GL260" s="5"/>
      <c r="GM260" s="5"/>
      <c r="GN260" s="5"/>
      <c r="GO260" s="5"/>
      <c r="GP260" s="5"/>
      <c r="GQ260" s="5"/>
      <c r="GR260" s="5"/>
      <c r="GS260" s="5"/>
      <c r="GT260" s="5"/>
      <c r="GU260" s="5"/>
      <c r="GV260" s="5"/>
      <c r="GW260" s="5"/>
      <c r="GX260" s="5"/>
      <c r="GY260" s="5"/>
      <c r="GZ260" s="5"/>
      <c r="HA260" s="5"/>
      <c r="HB260" s="5"/>
      <c r="HC260" s="5"/>
      <c r="HD260" s="5"/>
      <c r="HE260" s="5"/>
      <c r="HF260" s="5"/>
      <c r="HG260" s="5"/>
      <c r="HH260" s="5"/>
      <c r="HI260" s="5"/>
      <c r="HJ260" s="5"/>
      <c r="HK260" s="5"/>
      <c r="HL260" s="5"/>
      <c r="HM260" s="5"/>
      <c r="HN260" s="5"/>
      <c r="HO260" s="5"/>
      <c r="HP260" s="5"/>
      <c r="HQ260" s="5"/>
      <c r="HR260" s="5"/>
      <c r="HS260" s="5"/>
      <c r="HT260" s="5"/>
      <c r="HU260" s="5"/>
      <c r="HV260" s="5"/>
      <c r="HW260" s="5"/>
      <c r="HX260" s="5"/>
      <c r="HY260" s="5"/>
      <c r="HZ260" s="5"/>
      <c r="IA260" s="5"/>
      <c r="IB260" s="5"/>
      <c r="IC260" s="5"/>
      <c r="ID260" s="5"/>
    </row>
    <row r="261" spans="1:239" customHeight="1" ht="13.2"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  <c r="CO261" s="5"/>
      <c r="CP261" s="5"/>
      <c r="CQ261" s="5"/>
      <c r="CR261" s="5"/>
      <c r="CS261" s="5"/>
      <c r="CT261" s="5"/>
      <c r="CU261" s="5"/>
      <c r="CV261" s="5"/>
      <c r="CW261" s="5"/>
      <c r="CX261" s="5"/>
      <c r="CY261" s="5"/>
      <c r="CZ261" s="5"/>
      <c r="DA261" s="5"/>
      <c r="DB261" s="5"/>
      <c r="DC261" s="5"/>
      <c r="DD261" s="5"/>
      <c r="DE261" s="5"/>
      <c r="DF261" s="5"/>
      <c r="DG261" s="5"/>
      <c r="DH261" s="5"/>
      <c r="DI261" s="5"/>
      <c r="DJ261" s="5"/>
      <c r="DK261" s="5"/>
      <c r="DL261" s="5"/>
      <c r="DM261" s="5"/>
      <c r="DN261" s="5"/>
      <c r="DO261" s="5"/>
      <c r="DP261" s="5"/>
      <c r="DQ261" s="5"/>
      <c r="DR261" s="5"/>
      <c r="DS261" s="5"/>
      <c r="DT261" s="5"/>
      <c r="DU261" s="5"/>
      <c r="DV261" s="5"/>
      <c r="DW261" s="5"/>
      <c r="DX261" s="5"/>
      <c r="DY261" s="5"/>
      <c r="DZ261" s="5"/>
      <c r="EA261" s="5"/>
      <c r="EB261" s="5"/>
      <c r="EC261" s="5"/>
      <c r="ED261" s="5"/>
      <c r="EE261" s="5"/>
      <c r="EF261" s="5"/>
      <c r="EG261" s="5"/>
      <c r="EH261" s="5"/>
      <c r="EI261" s="5"/>
      <c r="EJ261" s="5"/>
      <c r="EK261" s="5"/>
      <c r="EL261" s="5"/>
      <c r="EM261" s="5"/>
      <c r="EN261" s="5"/>
      <c r="EO261" s="5"/>
      <c r="EP261" s="5"/>
      <c r="EQ261" s="5"/>
      <c r="ER261" s="5"/>
      <c r="ES261" s="5"/>
      <c r="ET261" s="5"/>
      <c r="EU261" s="5"/>
      <c r="EV261" s="5"/>
      <c r="EW261" s="5"/>
      <c r="EX261" s="5"/>
      <c r="EY261" s="5"/>
      <c r="EZ261" s="5"/>
      <c r="FA261" s="5"/>
      <c r="FB261" s="5"/>
      <c r="FC261" s="5"/>
      <c r="FD261" s="5"/>
      <c r="FE261" s="5"/>
      <c r="FF261" s="5"/>
      <c r="FG261" s="5"/>
      <c r="FH261" s="5"/>
      <c r="FI261" s="5"/>
      <c r="FJ261" s="5"/>
      <c r="FK261" s="5"/>
      <c r="FL261" s="5"/>
      <c r="FM261" s="5"/>
      <c r="FN261" s="5"/>
      <c r="FO261" s="5"/>
      <c r="FP261" s="5"/>
      <c r="FQ261" s="5"/>
      <c r="FR261" s="5"/>
      <c r="FS261" s="5"/>
      <c r="FT261" s="5"/>
      <c r="FU261" s="5"/>
      <c r="FV261" s="5"/>
      <c r="FW261" s="5"/>
      <c r="FX261" s="5"/>
      <c r="FY261" s="5"/>
      <c r="FZ261" s="5"/>
      <c r="GA261" s="5"/>
      <c r="GB261" s="5"/>
      <c r="GC261" s="5"/>
      <c r="GD261" s="5"/>
      <c r="GE261" s="5"/>
      <c r="GF261" s="5"/>
      <c r="GG261" s="5"/>
      <c r="GH261" s="5"/>
      <c r="GI261" s="5"/>
      <c r="GJ261" s="5"/>
      <c r="GK261" s="5"/>
      <c r="GL261" s="5"/>
      <c r="GM261" s="5"/>
      <c r="GN261" s="5"/>
      <c r="GO261" s="5"/>
      <c r="GP261" s="5"/>
      <c r="GQ261" s="5"/>
      <c r="GR261" s="5"/>
      <c r="GS261" s="5"/>
      <c r="GT261" s="5"/>
      <c r="GU261" s="5"/>
      <c r="GV261" s="5"/>
      <c r="GW261" s="5"/>
      <c r="GX261" s="5"/>
      <c r="GY261" s="5"/>
      <c r="GZ261" s="5"/>
      <c r="HA261" s="5"/>
      <c r="HB261" s="5"/>
      <c r="HC261" s="5"/>
      <c r="HD261" s="5"/>
      <c r="HE261" s="5"/>
      <c r="HF261" s="5"/>
      <c r="HG261" s="5"/>
      <c r="HH261" s="5"/>
      <c r="HI261" s="5"/>
      <c r="HJ261" s="5"/>
      <c r="HK261" s="5"/>
      <c r="HL261" s="5"/>
      <c r="HM261" s="5"/>
      <c r="HN261" s="5"/>
      <c r="HO261" s="5"/>
      <c r="HP261" s="5"/>
      <c r="HQ261" s="5"/>
      <c r="HR261" s="5"/>
      <c r="HS261" s="5"/>
      <c r="HT261" s="5"/>
      <c r="HU261" s="5"/>
      <c r="HV261" s="5"/>
      <c r="HW261" s="5"/>
      <c r="HX261" s="5"/>
      <c r="HY261" s="5"/>
      <c r="HZ261" s="5"/>
      <c r="IA261" s="5"/>
      <c r="IB261" s="5"/>
      <c r="IC261" s="5"/>
      <c r="ID261" s="5"/>
    </row>
    <row r="262" spans="1:239" customHeight="1" ht="13.2"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/>
      <c r="CV262" s="5"/>
      <c r="CW262" s="5"/>
      <c r="CX262" s="5"/>
      <c r="CY262" s="5"/>
      <c r="CZ262" s="5"/>
      <c r="DA262" s="5"/>
      <c r="DB262" s="5"/>
      <c r="DC262" s="5"/>
      <c r="DD262" s="5"/>
      <c r="DE262" s="5"/>
      <c r="DF262" s="5"/>
      <c r="DG262" s="5"/>
      <c r="DH262" s="5"/>
      <c r="DI262" s="5"/>
      <c r="DJ262" s="5"/>
      <c r="DK262" s="5"/>
      <c r="DL262" s="5"/>
      <c r="DM262" s="5"/>
      <c r="DN262" s="5"/>
      <c r="DO262" s="5"/>
      <c r="DP262" s="5"/>
      <c r="DQ262" s="5"/>
      <c r="DR262" s="5"/>
      <c r="DS262" s="5"/>
      <c r="DT262" s="5"/>
      <c r="DU262" s="5"/>
      <c r="DV262" s="5"/>
      <c r="DW262" s="5"/>
      <c r="DX262" s="5"/>
      <c r="DY262" s="5"/>
      <c r="DZ262" s="5"/>
      <c r="EA262" s="5"/>
      <c r="EB262" s="5"/>
      <c r="EC262" s="5"/>
      <c r="ED262" s="5"/>
      <c r="EE262" s="5"/>
      <c r="EF262" s="5"/>
      <c r="EG262" s="5"/>
      <c r="EH262" s="5"/>
      <c r="EI262" s="5"/>
      <c r="EJ262" s="5"/>
      <c r="EK262" s="5"/>
      <c r="EL262" s="5"/>
      <c r="EM262" s="5"/>
      <c r="EN262" s="5"/>
      <c r="EO262" s="5"/>
      <c r="EP262" s="5"/>
      <c r="EQ262" s="5"/>
      <c r="ER262" s="5"/>
      <c r="ES262" s="5"/>
      <c r="ET262" s="5"/>
      <c r="EU262" s="5"/>
      <c r="EV262" s="5"/>
      <c r="EW262" s="5"/>
      <c r="EX262" s="5"/>
      <c r="EY262" s="5"/>
      <c r="EZ262" s="5"/>
      <c r="FA262" s="5"/>
      <c r="FB262" s="5"/>
      <c r="FC262" s="5"/>
      <c r="FD262" s="5"/>
      <c r="FE262" s="5"/>
      <c r="FF262" s="5"/>
      <c r="FG262" s="5"/>
      <c r="FH262" s="5"/>
      <c r="FI262" s="5"/>
      <c r="FJ262" s="5"/>
      <c r="FK262" s="5"/>
      <c r="FL262" s="5"/>
      <c r="FM262" s="5"/>
      <c r="FN262" s="5"/>
      <c r="FO262" s="5"/>
      <c r="FP262" s="5"/>
      <c r="FQ262" s="5"/>
      <c r="FR262" s="5"/>
      <c r="FS262" s="5"/>
      <c r="FT262" s="5"/>
      <c r="FU262" s="5"/>
      <c r="FV262" s="5"/>
      <c r="FW262" s="5"/>
      <c r="FX262" s="5"/>
      <c r="FY262" s="5"/>
      <c r="FZ262" s="5"/>
      <c r="GA262" s="5"/>
      <c r="GB262" s="5"/>
      <c r="GC262" s="5"/>
      <c r="GD262" s="5"/>
      <c r="GE262" s="5"/>
      <c r="GF262" s="5"/>
      <c r="GG262" s="5"/>
      <c r="GH262" s="5"/>
      <c r="GI262" s="5"/>
      <c r="GJ262" s="5"/>
      <c r="GK262" s="5"/>
      <c r="GL262" s="5"/>
      <c r="GM262" s="5"/>
      <c r="GN262" s="5"/>
      <c r="GO262" s="5"/>
      <c r="GP262" s="5"/>
      <c r="GQ262" s="5"/>
      <c r="GR262" s="5"/>
      <c r="GS262" s="5"/>
      <c r="GT262" s="5"/>
      <c r="GU262" s="5"/>
      <c r="GV262" s="5"/>
      <c r="GW262" s="5"/>
      <c r="GX262" s="5"/>
      <c r="GY262" s="5"/>
      <c r="GZ262" s="5"/>
      <c r="HA262" s="5"/>
      <c r="HB262" s="5"/>
      <c r="HC262" s="5"/>
      <c r="HD262" s="5"/>
      <c r="HE262" s="5"/>
      <c r="HF262" s="5"/>
      <c r="HG262" s="5"/>
      <c r="HH262" s="5"/>
      <c r="HI262" s="5"/>
      <c r="HJ262" s="5"/>
      <c r="HK262" s="5"/>
      <c r="HL262" s="5"/>
      <c r="HM262" s="5"/>
      <c r="HN262" s="5"/>
      <c r="HO262" s="5"/>
      <c r="HP262" s="5"/>
      <c r="HQ262" s="5"/>
      <c r="HR262" s="5"/>
      <c r="HS262" s="5"/>
      <c r="HT262" s="5"/>
      <c r="HU262" s="5"/>
      <c r="HV262" s="5"/>
      <c r="HW262" s="5"/>
      <c r="HX262" s="5"/>
      <c r="HY262" s="5"/>
      <c r="HZ262" s="5"/>
      <c r="IA262" s="5"/>
      <c r="IB262" s="5"/>
      <c r="IC262" s="5"/>
      <c r="ID262" s="5"/>
    </row>
    <row r="263" spans="1:239" customHeight="1" ht="13.2"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S263" s="5"/>
      <c r="CT263" s="5"/>
      <c r="CU263" s="5"/>
      <c r="CV263" s="5"/>
      <c r="CW263" s="5"/>
      <c r="CX263" s="5"/>
      <c r="CY263" s="5"/>
      <c r="CZ263" s="5"/>
      <c r="DA263" s="5"/>
      <c r="DB263" s="5"/>
      <c r="DC263" s="5"/>
      <c r="DD263" s="5"/>
      <c r="DE263" s="5"/>
      <c r="DF263" s="5"/>
      <c r="DG263" s="5"/>
      <c r="DH263" s="5"/>
      <c r="DI263" s="5"/>
      <c r="DJ263" s="5"/>
      <c r="DK263" s="5"/>
      <c r="DL263" s="5"/>
      <c r="DM263" s="5"/>
      <c r="DN263" s="5"/>
      <c r="DO263" s="5"/>
      <c r="DP263" s="5"/>
      <c r="DQ263" s="5"/>
      <c r="DR263" s="5"/>
      <c r="DS263" s="5"/>
      <c r="DT263" s="5"/>
      <c r="DU263" s="5"/>
      <c r="DV263" s="5"/>
      <c r="DW263" s="5"/>
      <c r="DX263" s="5"/>
      <c r="DY263" s="5"/>
      <c r="DZ263" s="5"/>
      <c r="EA263" s="5"/>
      <c r="EB263" s="5"/>
      <c r="EC263" s="5"/>
      <c r="ED263" s="5"/>
      <c r="EE263" s="5"/>
      <c r="EF263" s="5"/>
      <c r="EG263" s="5"/>
      <c r="EH263" s="5"/>
      <c r="EI263" s="5"/>
      <c r="EJ263" s="5"/>
      <c r="EK263" s="5"/>
      <c r="EL263" s="5"/>
      <c r="EM263" s="5"/>
      <c r="EN263" s="5"/>
      <c r="EO263" s="5"/>
      <c r="EP263" s="5"/>
      <c r="EQ263" s="5"/>
      <c r="ER263" s="5"/>
      <c r="ES263" s="5"/>
      <c r="ET263" s="5"/>
      <c r="EU263" s="5"/>
      <c r="EV263" s="5"/>
      <c r="EW263" s="5"/>
      <c r="EX263" s="5"/>
      <c r="EY263" s="5"/>
      <c r="EZ263" s="5"/>
      <c r="FA263" s="5"/>
      <c r="FB263" s="5"/>
      <c r="FC263" s="5"/>
      <c r="FD263" s="5"/>
      <c r="FE263" s="5"/>
      <c r="FF263" s="5"/>
      <c r="FG263" s="5"/>
      <c r="FH263" s="5"/>
      <c r="FI263" s="5"/>
      <c r="FJ263" s="5"/>
      <c r="FK263" s="5"/>
      <c r="FL263" s="5"/>
      <c r="FM263" s="5"/>
      <c r="FN263" s="5"/>
      <c r="FO263" s="5"/>
      <c r="FP263" s="5"/>
      <c r="FQ263" s="5"/>
      <c r="FR263" s="5"/>
      <c r="FS263" s="5"/>
      <c r="FT263" s="5"/>
      <c r="FU263" s="5"/>
      <c r="FV263" s="5"/>
      <c r="FW263" s="5"/>
      <c r="FX263" s="5"/>
      <c r="FY263" s="5"/>
      <c r="FZ263" s="5"/>
      <c r="GA263" s="5"/>
      <c r="GB263" s="5"/>
      <c r="GC263" s="5"/>
      <c r="GD263" s="5"/>
      <c r="GE263" s="5"/>
      <c r="GF263" s="5"/>
      <c r="GG263" s="5"/>
      <c r="GH263" s="5"/>
      <c r="GI263" s="5"/>
      <c r="GJ263" s="5"/>
      <c r="GK263" s="5"/>
      <c r="GL263" s="5"/>
      <c r="GM263" s="5"/>
      <c r="GN263" s="5"/>
      <c r="GO263" s="5"/>
      <c r="GP263" s="5"/>
      <c r="GQ263" s="5"/>
      <c r="GR263" s="5"/>
      <c r="GS263" s="5"/>
      <c r="GT263" s="5"/>
      <c r="GU263" s="5"/>
      <c r="GV263" s="5"/>
      <c r="GW263" s="5"/>
      <c r="GX263" s="5"/>
      <c r="GY263" s="5"/>
      <c r="GZ263" s="5"/>
      <c r="HA263" s="5"/>
      <c r="HB263" s="5"/>
      <c r="HC263" s="5"/>
      <c r="HD263" s="5"/>
      <c r="HE263" s="5"/>
      <c r="HF263" s="5"/>
      <c r="HG263" s="5"/>
      <c r="HH263" s="5"/>
      <c r="HI263" s="5"/>
      <c r="HJ263" s="5"/>
      <c r="HK263" s="5"/>
      <c r="HL263" s="5"/>
      <c r="HM263" s="5"/>
      <c r="HN263" s="5"/>
      <c r="HO263" s="5"/>
      <c r="HP263" s="5"/>
      <c r="HQ263" s="5"/>
      <c r="HR263" s="5"/>
      <c r="HS263" s="5"/>
      <c r="HT263" s="5"/>
      <c r="HU263" s="5"/>
      <c r="HV263" s="5"/>
      <c r="HW263" s="5"/>
      <c r="HX263" s="5"/>
      <c r="HY263" s="5"/>
      <c r="HZ263" s="5"/>
      <c r="IA263" s="5"/>
      <c r="IB263" s="5"/>
      <c r="IC263" s="5"/>
      <c r="ID263" s="5"/>
    </row>
    <row r="264" spans="1:239" customHeight="1" ht="13.2"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  <c r="CO264" s="5"/>
      <c r="CP264" s="5"/>
      <c r="CQ264" s="5"/>
      <c r="CR264" s="5"/>
      <c r="CS264" s="5"/>
      <c r="CT264" s="5"/>
      <c r="CU264" s="5"/>
      <c r="CV264" s="5"/>
      <c r="CW264" s="5"/>
      <c r="CX264" s="5"/>
      <c r="CY264" s="5"/>
      <c r="CZ264" s="5"/>
      <c r="DA264" s="5"/>
      <c r="DB264" s="5"/>
      <c r="DC264" s="5"/>
      <c r="DD264" s="5"/>
      <c r="DE264" s="5"/>
      <c r="DF264" s="5"/>
      <c r="DG264" s="5"/>
      <c r="DH264" s="5"/>
      <c r="DI264" s="5"/>
      <c r="DJ264" s="5"/>
      <c r="DK264" s="5"/>
      <c r="DL264" s="5"/>
      <c r="DM264" s="5"/>
      <c r="DN264" s="5"/>
      <c r="DO264" s="5"/>
      <c r="DP264" s="5"/>
      <c r="DQ264" s="5"/>
      <c r="DR264" s="5"/>
      <c r="DS264" s="5"/>
      <c r="DT264" s="5"/>
      <c r="DU264" s="5"/>
      <c r="DV264" s="5"/>
      <c r="DW264" s="5"/>
      <c r="DX264" s="5"/>
      <c r="DY264" s="5"/>
      <c r="DZ264" s="5"/>
      <c r="EA264" s="5"/>
      <c r="EB264" s="5"/>
      <c r="EC264" s="5"/>
      <c r="ED264" s="5"/>
      <c r="EE264" s="5"/>
      <c r="EF264" s="5"/>
      <c r="EG264" s="5"/>
      <c r="EH264" s="5"/>
      <c r="EI264" s="5"/>
      <c r="EJ264" s="5"/>
      <c r="EK264" s="5"/>
      <c r="EL264" s="5"/>
      <c r="EM264" s="5"/>
      <c r="EN264" s="5"/>
      <c r="EO264" s="5"/>
      <c r="EP264" s="5"/>
      <c r="EQ264" s="5"/>
      <c r="ER264" s="5"/>
      <c r="ES264" s="5"/>
      <c r="ET264" s="5"/>
      <c r="EU264" s="5"/>
      <c r="EV264" s="5"/>
      <c r="EW264" s="5"/>
      <c r="EX264" s="5"/>
      <c r="EY264" s="5"/>
      <c r="EZ264" s="5"/>
      <c r="FA264" s="5"/>
      <c r="FB264" s="5"/>
      <c r="FC264" s="5"/>
      <c r="FD264" s="5"/>
      <c r="FE264" s="5"/>
      <c r="FF264" s="5"/>
      <c r="FG264" s="5"/>
      <c r="FH264" s="5"/>
      <c r="FI264" s="5"/>
      <c r="FJ264" s="5"/>
      <c r="FK264" s="5"/>
      <c r="FL264" s="5"/>
      <c r="FM264" s="5"/>
      <c r="FN264" s="5"/>
      <c r="FO264" s="5"/>
      <c r="FP264" s="5"/>
      <c r="FQ264" s="5"/>
      <c r="FR264" s="5"/>
      <c r="FS264" s="5"/>
      <c r="FT264" s="5"/>
      <c r="FU264" s="5"/>
      <c r="FV264" s="5"/>
      <c r="FW264" s="5"/>
      <c r="FX264" s="5"/>
      <c r="FY264" s="5"/>
      <c r="FZ264" s="5"/>
      <c r="GA264" s="5"/>
      <c r="GB264" s="5"/>
      <c r="GC264" s="5"/>
      <c r="GD264" s="5"/>
      <c r="GE264" s="5"/>
      <c r="GF264" s="5"/>
      <c r="GG264" s="5"/>
      <c r="GH264" s="5"/>
      <c r="GI264" s="5"/>
      <c r="GJ264" s="5"/>
      <c r="GK264" s="5"/>
      <c r="GL264" s="5"/>
      <c r="GM264" s="5"/>
      <c r="GN264" s="5"/>
      <c r="GO264" s="5"/>
      <c r="GP264" s="5"/>
      <c r="GQ264" s="5"/>
      <c r="GR264" s="5"/>
      <c r="GS264" s="5"/>
      <c r="GT264" s="5"/>
      <c r="GU264" s="5"/>
      <c r="GV264" s="5"/>
      <c r="GW264" s="5"/>
      <c r="GX264" s="5"/>
      <c r="GY264" s="5"/>
      <c r="GZ264" s="5"/>
      <c r="HA264" s="5"/>
      <c r="HB264" s="5"/>
      <c r="HC264" s="5"/>
      <c r="HD264" s="5"/>
      <c r="HE264" s="5"/>
      <c r="HF264" s="5"/>
      <c r="HG264" s="5"/>
      <c r="HH264" s="5"/>
      <c r="HI264" s="5"/>
      <c r="HJ264" s="5"/>
      <c r="HK264" s="5"/>
      <c r="HL264" s="5"/>
      <c r="HM264" s="5"/>
      <c r="HN264" s="5"/>
      <c r="HO264" s="5"/>
      <c r="HP264" s="5"/>
      <c r="HQ264" s="5"/>
      <c r="HR264" s="5"/>
      <c r="HS264" s="5"/>
      <c r="HT264" s="5"/>
      <c r="HU264" s="5"/>
      <c r="HV264" s="5"/>
      <c r="HW264" s="5"/>
      <c r="HX264" s="5"/>
      <c r="HY264" s="5"/>
      <c r="HZ264" s="5"/>
      <c r="IA264" s="5"/>
      <c r="IB264" s="5"/>
      <c r="IC264" s="5"/>
      <c r="ID264" s="5"/>
    </row>
    <row r="265" spans="1:239" customHeight="1" ht="13.2"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  <c r="CO265" s="5"/>
      <c r="CP265" s="5"/>
      <c r="CQ265" s="5"/>
      <c r="CR265" s="5"/>
      <c r="CS265" s="5"/>
      <c r="CT265" s="5"/>
      <c r="CU265" s="5"/>
      <c r="CV265" s="5"/>
      <c r="CW265" s="5"/>
      <c r="CX265" s="5"/>
      <c r="CY265" s="5"/>
      <c r="CZ265" s="5"/>
      <c r="DA265" s="5"/>
      <c r="DB265" s="5"/>
      <c r="DC265" s="5"/>
      <c r="DD265" s="5"/>
      <c r="DE265" s="5"/>
      <c r="DF265" s="5"/>
      <c r="DG265" s="5"/>
      <c r="DH265" s="5"/>
      <c r="DI265" s="5"/>
      <c r="DJ265" s="5"/>
      <c r="DK265" s="5"/>
      <c r="DL265" s="5"/>
      <c r="DM265" s="5"/>
      <c r="DN265" s="5"/>
      <c r="DO265" s="5"/>
      <c r="DP265" s="5"/>
      <c r="DQ265" s="5"/>
      <c r="DR265" s="5"/>
      <c r="DS265" s="5"/>
      <c r="DT265" s="5"/>
      <c r="DU265" s="5"/>
      <c r="DV265" s="5"/>
      <c r="DW265" s="5"/>
      <c r="DX265" s="5"/>
      <c r="DY265" s="5"/>
      <c r="DZ265" s="5"/>
      <c r="EA265" s="5"/>
      <c r="EB265" s="5"/>
      <c r="EC265" s="5"/>
      <c r="ED265" s="5"/>
      <c r="EE265" s="5"/>
      <c r="EF265" s="5"/>
      <c r="EG265" s="5"/>
      <c r="EH265" s="5"/>
      <c r="EI265" s="5"/>
      <c r="EJ265" s="5"/>
      <c r="EK265" s="5"/>
      <c r="EL265" s="5"/>
      <c r="EM265" s="5"/>
      <c r="EN265" s="5"/>
      <c r="EO265" s="5"/>
      <c r="EP265" s="5"/>
      <c r="EQ265" s="5"/>
      <c r="ER265" s="5"/>
      <c r="ES265" s="5"/>
      <c r="ET265" s="5"/>
      <c r="EU265" s="5"/>
      <c r="EV265" s="5"/>
      <c r="EW265" s="5"/>
      <c r="EX265" s="5"/>
      <c r="EY265" s="5"/>
      <c r="EZ265" s="5"/>
      <c r="FA265" s="5"/>
      <c r="FB265" s="5"/>
      <c r="FC265" s="5"/>
      <c r="FD265" s="5"/>
      <c r="FE265" s="5"/>
      <c r="FF265" s="5"/>
      <c r="FG265" s="5"/>
      <c r="FH265" s="5"/>
      <c r="FI265" s="5"/>
      <c r="FJ265" s="5"/>
      <c r="FK265" s="5"/>
      <c r="FL265" s="5"/>
      <c r="FM265" s="5"/>
      <c r="FN265" s="5"/>
      <c r="FO265" s="5"/>
      <c r="FP265" s="5"/>
      <c r="FQ265" s="5"/>
      <c r="FR265" s="5"/>
      <c r="FS265" s="5"/>
      <c r="FT265" s="5"/>
      <c r="FU265" s="5"/>
      <c r="FV265" s="5"/>
      <c r="FW265" s="5"/>
      <c r="FX265" s="5"/>
      <c r="FY265" s="5"/>
      <c r="FZ265" s="5"/>
      <c r="GA265" s="5"/>
      <c r="GB265" s="5"/>
      <c r="GC265" s="5"/>
      <c r="GD265" s="5"/>
      <c r="GE265" s="5"/>
      <c r="GF265" s="5"/>
      <c r="GG265" s="5"/>
      <c r="GH265" s="5"/>
      <c r="GI265" s="5"/>
      <c r="GJ265" s="5"/>
      <c r="GK265" s="5"/>
      <c r="GL265" s="5"/>
      <c r="GM265" s="5"/>
      <c r="GN265" s="5"/>
      <c r="GO265" s="5"/>
      <c r="GP265" s="5"/>
      <c r="GQ265" s="5"/>
      <c r="GR265" s="5"/>
      <c r="GS265" s="5"/>
      <c r="GT265" s="5"/>
      <c r="GU265" s="5"/>
      <c r="GV265" s="5"/>
      <c r="GW265" s="5"/>
      <c r="GX265" s="5"/>
      <c r="GY265" s="5"/>
      <c r="GZ265" s="5"/>
      <c r="HA265" s="5"/>
      <c r="HB265" s="5"/>
      <c r="HC265" s="5"/>
      <c r="HD265" s="5"/>
      <c r="HE265" s="5"/>
      <c r="HF265" s="5"/>
      <c r="HG265" s="5"/>
      <c r="HH265" s="5"/>
      <c r="HI265" s="5"/>
      <c r="HJ265" s="5"/>
      <c r="HK265" s="5"/>
      <c r="HL265" s="5"/>
      <c r="HM265" s="5"/>
      <c r="HN265" s="5"/>
      <c r="HO265" s="5"/>
      <c r="HP265" s="5"/>
      <c r="HQ265" s="5"/>
      <c r="HR265" s="5"/>
      <c r="HS265" s="5"/>
      <c r="HT265" s="5"/>
      <c r="HU265" s="5"/>
      <c r="HV265" s="5"/>
      <c r="HW265" s="5"/>
      <c r="HX265" s="5"/>
      <c r="HY265" s="5"/>
      <c r="HZ265" s="5"/>
      <c r="IA265" s="5"/>
      <c r="IB265" s="5"/>
      <c r="IC265" s="5"/>
      <c r="ID265" s="5"/>
    </row>
    <row r="266" spans="1:239" customHeight="1" ht="13.2"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  <c r="CO266" s="5"/>
      <c r="CP266" s="5"/>
      <c r="CQ266" s="5"/>
      <c r="CR266" s="5"/>
      <c r="CS266" s="5"/>
      <c r="CT266" s="5"/>
      <c r="CU266" s="5"/>
      <c r="CV266" s="5"/>
      <c r="CW266" s="5"/>
      <c r="CX266" s="5"/>
      <c r="CY266" s="5"/>
      <c r="CZ266" s="5"/>
      <c r="DA266" s="5"/>
      <c r="DB266" s="5"/>
      <c r="DC266" s="5"/>
      <c r="DD266" s="5"/>
      <c r="DE266" s="5"/>
      <c r="DF266" s="5"/>
      <c r="DG266" s="5"/>
      <c r="DH266" s="5"/>
      <c r="DI266" s="5"/>
      <c r="DJ266" s="5"/>
      <c r="DK266" s="5"/>
      <c r="DL266" s="5"/>
      <c r="DM266" s="5"/>
      <c r="DN266" s="5"/>
      <c r="DO266" s="5"/>
      <c r="DP266" s="5"/>
      <c r="DQ266" s="5"/>
      <c r="DR266" s="5"/>
      <c r="DS266" s="5"/>
      <c r="DT266" s="5"/>
      <c r="DU266" s="5"/>
      <c r="DV266" s="5"/>
      <c r="DW266" s="5"/>
      <c r="DX266" s="5"/>
      <c r="DY266" s="5"/>
      <c r="DZ266" s="5"/>
      <c r="EA266" s="5"/>
      <c r="EB266" s="5"/>
      <c r="EC266" s="5"/>
      <c r="ED266" s="5"/>
      <c r="EE266" s="5"/>
      <c r="EF266" s="5"/>
      <c r="EG266" s="5"/>
      <c r="EH266" s="5"/>
      <c r="EI266" s="5"/>
      <c r="EJ266" s="5"/>
      <c r="EK266" s="5"/>
      <c r="EL266" s="5"/>
      <c r="EM266" s="5"/>
      <c r="EN266" s="5"/>
      <c r="EO266" s="5"/>
      <c r="EP266" s="5"/>
      <c r="EQ266" s="5"/>
      <c r="ER266" s="5"/>
      <c r="ES266" s="5"/>
      <c r="ET266" s="5"/>
      <c r="EU266" s="5"/>
      <c r="EV266" s="5"/>
      <c r="EW266" s="5"/>
      <c r="EX266" s="5"/>
      <c r="EY266" s="5"/>
      <c r="EZ266" s="5"/>
      <c r="FA266" s="5"/>
      <c r="FB266" s="5"/>
      <c r="FC266" s="5"/>
      <c r="FD266" s="5"/>
      <c r="FE266" s="5"/>
      <c r="FF266" s="5"/>
      <c r="FG266" s="5"/>
      <c r="FH266" s="5"/>
      <c r="FI266" s="5"/>
      <c r="FJ266" s="5"/>
      <c r="FK266" s="5"/>
      <c r="FL266" s="5"/>
      <c r="FM266" s="5"/>
      <c r="FN266" s="5"/>
      <c r="FO266" s="5"/>
      <c r="FP266" s="5"/>
      <c r="FQ266" s="5"/>
      <c r="FR266" s="5"/>
      <c r="FS266" s="5"/>
      <c r="FT266" s="5"/>
      <c r="FU266" s="5"/>
      <c r="FV266" s="5"/>
      <c r="FW266" s="5"/>
      <c r="FX266" s="5"/>
      <c r="FY266" s="5"/>
      <c r="FZ266" s="5"/>
      <c r="GA266" s="5"/>
      <c r="GB266" s="5"/>
      <c r="GC266" s="5"/>
      <c r="GD266" s="5"/>
      <c r="GE266" s="5"/>
      <c r="GF266" s="5"/>
      <c r="GG266" s="5"/>
      <c r="GH266" s="5"/>
      <c r="GI266" s="5"/>
      <c r="GJ266" s="5"/>
      <c r="GK266" s="5"/>
      <c r="GL266" s="5"/>
      <c r="GM266" s="5"/>
      <c r="GN266" s="5"/>
      <c r="GO266" s="5"/>
      <c r="GP266" s="5"/>
      <c r="GQ266" s="5"/>
      <c r="GR266" s="5"/>
      <c r="GS266" s="5"/>
      <c r="GT266" s="5"/>
      <c r="GU266" s="5"/>
      <c r="GV266" s="5"/>
      <c r="GW266" s="5"/>
      <c r="GX266" s="5"/>
      <c r="GY266" s="5"/>
      <c r="GZ266" s="5"/>
      <c r="HA266" s="5"/>
      <c r="HB266" s="5"/>
      <c r="HC266" s="5"/>
      <c r="HD266" s="5"/>
      <c r="HE266" s="5"/>
      <c r="HF266" s="5"/>
      <c r="HG266" s="5"/>
      <c r="HH266" s="5"/>
      <c r="HI266" s="5"/>
      <c r="HJ266" s="5"/>
      <c r="HK266" s="5"/>
      <c r="HL266" s="5"/>
      <c r="HM266" s="5"/>
      <c r="HN266" s="5"/>
      <c r="HO266" s="5"/>
      <c r="HP266" s="5"/>
      <c r="HQ266" s="5"/>
      <c r="HR266" s="5"/>
      <c r="HS266" s="5"/>
      <c r="HT266" s="5"/>
      <c r="HU266" s="5"/>
      <c r="HV266" s="5"/>
      <c r="HW266" s="5"/>
      <c r="HX266" s="5"/>
      <c r="HY266" s="5"/>
      <c r="HZ266" s="5"/>
      <c r="IA266" s="5"/>
      <c r="IB266" s="5"/>
      <c r="IC266" s="5"/>
      <c r="ID266" s="5"/>
    </row>
    <row r="267" spans="1:239" customHeight="1" ht="13.2"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  <c r="CO267" s="5"/>
      <c r="CP267" s="5"/>
      <c r="CQ267" s="5"/>
      <c r="CR267" s="5"/>
      <c r="CS267" s="5"/>
      <c r="CT267" s="5"/>
      <c r="CU267" s="5"/>
      <c r="CV267" s="5"/>
      <c r="CW267" s="5"/>
      <c r="CX267" s="5"/>
      <c r="CY267" s="5"/>
      <c r="CZ267" s="5"/>
      <c r="DA267" s="5"/>
      <c r="DB267" s="5"/>
      <c r="DC267" s="5"/>
      <c r="DD267" s="5"/>
      <c r="DE267" s="5"/>
      <c r="DF267" s="5"/>
      <c r="DG267" s="5"/>
      <c r="DH267" s="5"/>
      <c r="DI267" s="5"/>
      <c r="DJ267" s="5"/>
      <c r="DK267" s="5"/>
      <c r="DL267" s="5"/>
      <c r="DM267" s="5"/>
      <c r="DN267" s="5"/>
      <c r="DO267" s="5"/>
      <c r="DP267" s="5"/>
      <c r="DQ267" s="5"/>
      <c r="DR267" s="5"/>
      <c r="DS267" s="5"/>
      <c r="DT267" s="5"/>
      <c r="DU267" s="5"/>
      <c r="DV267" s="5"/>
      <c r="DW267" s="5"/>
      <c r="DX267" s="5"/>
      <c r="DY267" s="5"/>
      <c r="DZ267" s="5"/>
      <c r="EA267" s="5"/>
      <c r="EB267" s="5"/>
      <c r="EC267" s="5"/>
      <c r="ED267" s="5"/>
      <c r="EE267" s="5"/>
      <c r="EF267" s="5"/>
      <c r="EG267" s="5"/>
      <c r="EH267" s="5"/>
      <c r="EI267" s="5"/>
      <c r="EJ267" s="5"/>
      <c r="EK267" s="5"/>
      <c r="EL267" s="5"/>
      <c r="EM267" s="5"/>
      <c r="EN267" s="5"/>
      <c r="EO267" s="5"/>
      <c r="EP267" s="5"/>
      <c r="EQ267" s="5"/>
      <c r="ER267" s="5"/>
      <c r="ES267" s="5"/>
      <c r="ET267" s="5"/>
      <c r="EU267" s="5"/>
      <c r="EV267" s="5"/>
      <c r="EW267" s="5"/>
      <c r="EX267" s="5"/>
      <c r="EY267" s="5"/>
      <c r="EZ267" s="5"/>
      <c r="FA267" s="5"/>
      <c r="FB267" s="5"/>
      <c r="FC267" s="5"/>
      <c r="FD267" s="5"/>
      <c r="FE267" s="5"/>
      <c r="FF267" s="5"/>
      <c r="FG267" s="5"/>
      <c r="FH267" s="5"/>
      <c r="FI267" s="5"/>
      <c r="FJ267" s="5"/>
      <c r="FK267" s="5"/>
      <c r="FL267" s="5"/>
      <c r="FM267" s="5"/>
      <c r="FN267" s="5"/>
      <c r="FO267" s="5"/>
      <c r="FP267" s="5"/>
      <c r="FQ267" s="5"/>
      <c r="FR267" s="5"/>
      <c r="FS267" s="5"/>
      <c r="FT267" s="5"/>
      <c r="FU267" s="5"/>
      <c r="FV267" s="5"/>
      <c r="FW267" s="5"/>
      <c r="FX267" s="5"/>
      <c r="FY267" s="5"/>
      <c r="FZ267" s="5"/>
      <c r="GA267" s="5"/>
      <c r="GB267" s="5"/>
      <c r="GC267" s="5"/>
      <c r="GD267" s="5"/>
      <c r="GE267" s="5"/>
      <c r="GF267" s="5"/>
      <c r="GG267" s="5"/>
      <c r="GH267" s="5"/>
      <c r="GI267" s="5"/>
      <c r="GJ267" s="5"/>
      <c r="GK267" s="5"/>
      <c r="GL267" s="5"/>
      <c r="GM267" s="5"/>
      <c r="GN267" s="5"/>
      <c r="GO267" s="5"/>
      <c r="GP267" s="5"/>
      <c r="GQ267" s="5"/>
      <c r="GR267" s="5"/>
      <c r="GS267" s="5"/>
      <c r="GT267" s="5"/>
      <c r="GU267" s="5"/>
      <c r="GV267" s="5"/>
      <c r="GW267" s="5"/>
      <c r="GX267" s="5"/>
      <c r="GY267" s="5"/>
      <c r="GZ267" s="5"/>
      <c r="HA267" s="5"/>
      <c r="HB267" s="5"/>
      <c r="HC267" s="5"/>
      <c r="HD267" s="5"/>
      <c r="HE267" s="5"/>
      <c r="HF267" s="5"/>
      <c r="HG267" s="5"/>
      <c r="HH267" s="5"/>
      <c r="HI267" s="5"/>
      <c r="HJ267" s="5"/>
      <c r="HK267" s="5"/>
      <c r="HL267" s="5"/>
      <c r="HM267" s="5"/>
      <c r="HN267" s="5"/>
      <c r="HO267" s="5"/>
      <c r="HP267" s="5"/>
      <c r="HQ267" s="5"/>
      <c r="HR267" s="5"/>
      <c r="HS267" s="5"/>
      <c r="HT267" s="5"/>
      <c r="HU267" s="5"/>
      <c r="HV267" s="5"/>
      <c r="HW267" s="5"/>
      <c r="HX267" s="5"/>
      <c r="HY267" s="5"/>
      <c r="HZ267" s="5"/>
      <c r="IA267" s="5"/>
      <c r="IB267" s="5"/>
      <c r="IC267" s="5"/>
      <c r="ID267" s="5"/>
    </row>
    <row r="268" spans="1:239" customHeight="1" ht="13.2"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  <c r="CG268" s="5"/>
      <c r="CH268" s="5"/>
      <c r="CI268" s="5"/>
      <c r="CJ268" s="5"/>
      <c r="CK268" s="5"/>
      <c r="CL268" s="5"/>
      <c r="CM268" s="5"/>
      <c r="CN268" s="5"/>
      <c r="CO268" s="5"/>
      <c r="CP268" s="5"/>
      <c r="CQ268" s="5"/>
      <c r="CR268" s="5"/>
      <c r="CS268" s="5"/>
      <c r="CT268" s="5"/>
      <c r="CU268" s="5"/>
      <c r="CV268" s="5"/>
      <c r="CW268" s="5"/>
      <c r="CX268" s="5"/>
      <c r="CY268" s="5"/>
      <c r="CZ268" s="5"/>
      <c r="DA268" s="5"/>
      <c r="DB268" s="5"/>
      <c r="DC268" s="5"/>
      <c r="DD268" s="5"/>
      <c r="DE268" s="5"/>
      <c r="DF268" s="5"/>
      <c r="DG268" s="5"/>
      <c r="DH268" s="5"/>
      <c r="DI268" s="5"/>
      <c r="DJ268" s="5"/>
      <c r="DK268" s="5"/>
      <c r="DL268" s="5"/>
      <c r="DM268" s="5"/>
      <c r="DN268" s="5"/>
      <c r="DO268" s="5"/>
      <c r="DP268" s="5"/>
      <c r="DQ268" s="5"/>
      <c r="DR268" s="5"/>
      <c r="DS268" s="5"/>
      <c r="DT268" s="5"/>
      <c r="DU268" s="5"/>
      <c r="DV268" s="5"/>
      <c r="DW268" s="5"/>
      <c r="DX268" s="5"/>
      <c r="DY268" s="5"/>
      <c r="DZ268" s="5"/>
      <c r="EA268" s="5"/>
      <c r="EB268" s="5"/>
      <c r="EC268" s="5"/>
      <c r="ED268" s="5"/>
      <c r="EE268" s="5"/>
      <c r="EF268" s="5"/>
      <c r="EG268" s="5"/>
      <c r="EH268" s="5"/>
      <c r="EI268" s="5"/>
      <c r="EJ268" s="5"/>
      <c r="EK268" s="5"/>
      <c r="EL268" s="5"/>
      <c r="EM268" s="5"/>
      <c r="EN268" s="5"/>
      <c r="EO268" s="5"/>
      <c r="EP268" s="5"/>
      <c r="EQ268" s="5"/>
      <c r="ER268" s="5"/>
      <c r="ES268" s="5"/>
      <c r="ET268" s="5"/>
      <c r="EU268" s="5"/>
      <c r="EV268" s="5"/>
      <c r="EW268" s="5"/>
      <c r="EX268" s="5"/>
      <c r="EY268" s="5"/>
      <c r="EZ268" s="5"/>
      <c r="FA268" s="5"/>
      <c r="FB268" s="5"/>
      <c r="FC268" s="5"/>
      <c r="FD268" s="5"/>
      <c r="FE268" s="5"/>
      <c r="FF268" s="5"/>
      <c r="FG268" s="5"/>
      <c r="FH268" s="5"/>
      <c r="FI268" s="5"/>
      <c r="FJ268" s="5"/>
      <c r="FK268" s="5"/>
      <c r="FL268" s="5"/>
      <c r="FM268" s="5"/>
      <c r="FN268" s="5"/>
      <c r="FO268" s="5"/>
      <c r="FP268" s="5"/>
      <c r="FQ268" s="5"/>
      <c r="FR268" s="5"/>
      <c r="FS268" s="5"/>
      <c r="FT268" s="5"/>
      <c r="FU268" s="5"/>
      <c r="FV268" s="5"/>
      <c r="FW268" s="5"/>
      <c r="FX268" s="5"/>
      <c r="FY268" s="5"/>
      <c r="FZ268" s="5"/>
      <c r="GA268" s="5"/>
      <c r="GB268" s="5"/>
      <c r="GC268" s="5"/>
      <c r="GD268" s="5"/>
      <c r="GE268" s="5"/>
      <c r="GF268" s="5"/>
      <c r="GG268" s="5"/>
      <c r="GH268" s="5"/>
      <c r="GI268" s="5"/>
      <c r="GJ268" s="5"/>
      <c r="GK268" s="5"/>
      <c r="GL268" s="5"/>
      <c r="GM268" s="5"/>
      <c r="GN268" s="5"/>
      <c r="GO268" s="5"/>
      <c r="GP268" s="5"/>
      <c r="GQ268" s="5"/>
      <c r="GR268" s="5"/>
      <c r="GS268" s="5"/>
      <c r="GT268" s="5"/>
      <c r="GU268" s="5"/>
      <c r="GV268" s="5"/>
      <c r="GW268" s="5"/>
      <c r="GX268" s="5"/>
      <c r="GY268" s="5"/>
      <c r="GZ268" s="5"/>
      <c r="HA268" s="5"/>
      <c r="HB268" s="5"/>
      <c r="HC268" s="5"/>
      <c r="HD268" s="5"/>
      <c r="HE268" s="5"/>
      <c r="HF268" s="5"/>
      <c r="HG268" s="5"/>
      <c r="HH268" s="5"/>
      <c r="HI268" s="5"/>
      <c r="HJ268" s="5"/>
      <c r="HK268" s="5"/>
      <c r="HL268" s="5"/>
      <c r="HM268" s="5"/>
      <c r="HN268" s="5"/>
      <c r="HO268" s="5"/>
      <c r="HP268" s="5"/>
      <c r="HQ268" s="5"/>
      <c r="HR268" s="5"/>
      <c r="HS268" s="5"/>
      <c r="HT268" s="5"/>
      <c r="HU268" s="5"/>
      <c r="HV268" s="5"/>
      <c r="HW268" s="5"/>
      <c r="HX268" s="5"/>
      <c r="HY268" s="5"/>
      <c r="HZ268" s="5"/>
      <c r="IA268" s="5"/>
      <c r="IB268" s="5"/>
      <c r="IC268" s="5"/>
      <c r="ID268" s="5"/>
    </row>
    <row r="269" spans="1:239" customHeight="1" ht="13.2"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  <c r="CG269" s="5"/>
      <c r="CH269" s="5"/>
      <c r="CI269" s="5"/>
      <c r="CJ269" s="5"/>
      <c r="CK269" s="5"/>
      <c r="CL269" s="5"/>
      <c r="CM269" s="5"/>
      <c r="CN269" s="5"/>
      <c r="CO269" s="5"/>
      <c r="CP269" s="5"/>
      <c r="CQ269" s="5"/>
      <c r="CR269" s="5"/>
      <c r="CS269" s="5"/>
      <c r="CT269" s="5"/>
      <c r="CU269" s="5"/>
      <c r="CV269" s="5"/>
      <c r="CW269" s="5"/>
      <c r="CX269" s="5"/>
      <c r="CY269" s="5"/>
      <c r="CZ269" s="5"/>
      <c r="DA269" s="5"/>
      <c r="DB269" s="5"/>
      <c r="DC269" s="5"/>
      <c r="DD269" s="5"/>
      <c r="DE269" s="5"/>
      <c r="DF269" s="5"/>
      <c r="DG269" s="5"/>
      <c r="DH269" s="5"/>
      <c r="DI269" s="5"/>
      <c r="DJ269" s="5"/>
      <c r="DK269" s="5"/>
      <c r="DL269" s="5"/>
      <c r="DM269" s="5"/>
      <c r="DN269" s="5"/>
      <c r="DO269" s="5"/>
      <c r="DP269" s="5"/>
      <c r="DQ269" s="5"/>
      <c r="DR269" s="5"/>
      <c r="DS269" s="5"/>
      <c r="DT269" s="5"/>
      <c r="DU269" s="5"/>
      <c r="DV269" s="5"/>
      <c r="DW269" s="5"/>
      <c r="DX269" s="5"/>
      <c r="DY269" s="5"/>
      <c r="DZ269" s="5"/>
      <c r="EA269" s="5"/>
      <c r="EB269" s="5"/>
      <c r="EC269" s="5"/>
      <c r="ED269" s="5"/>
      <c r="EE269" s="5"/>
      <c r="EF269" s="5"/>
      <c r="EG269" s="5"/>
      <c r="EH269" s="5"/>
      <c r="EI269" s="5"/>
      <c r="EJ269" s="5"/>
      <c r="EK269" s="5"/>
      <c r="EL269" s="5"/>
      <c r="EM269" s="5"/>
      <c r="EN269" s="5"/>
      <c r="EO269" s="5"/>
      <c r="EP269" s="5"/>
      <c r="EQ269" s="5"/>
      <c r="ER269" s="5"/>
      <c r="ES269" s="5"/>
      <c r="ET269" s="5"/>
      <c r="EU269" s="5"/>
      <c r="EV269" s="5"/>
      <c r="EW269" s="5"/>
      <c r="EX269" s="5"/>
      <c r="EY269" s="5"/>
      <c r="EZ269" s="5"/>
      <c r="FA269" s="5"/>
      <c r="FB269" s="5"/>
      <c r="FC269" s="5"/>
      <c r="FD269" s="5"/>
      <c r="FE269" s="5"/>
      <c r="FF269" s="5"/>
      <c r="FG269" s="5"/>
      <c r="FH269" s="5"/>
      <c r="FI269" s="5"/>
      <c r="FJ269" s="5"/>
      <c r="FK269" s="5"/>
      <c r="FL269" s="5"/>
      <c r="FM269" s="5"/>
      <c r="FN269" s="5"/>
      <c r="FO269" s="5"/>
      <c r="FP269" s="5"/>
      <c r="FQ269" s="5"/>
      <c r="FR269" s="5"/>
      <c r="FS269" s="5"/>
      <c r="FT269" s="5"/>
      <c r="FU269" s="5"/>
      <c r="FV269" s="5"/>
      <c r="FW269" s="5"/>
      <c r="FX269" s="5"/>
      <c r="FY269" s="5"/>
      <c r="FZ269" s="5"/>
      <c r="GA269" s="5"/>
      <c r="GB269" s="5"/>
      <c r="GC269" s="5"/>
      <c r="GD269" s="5"/>
      <c r="GE269" s="5"/>
      <c r="GF269" s="5"/>
      <c r="GG269" s="5"/>
      <c r="GH269" s="5"/>
      <c r="GI269" s="5"/>
      <c r="GJ269" s="5"/>
      <c r="GK269" s="5"/>
      <c r="GL269" s="5"/>
      <c r="GM269" s="5"/>
      <c r="GN269" s="5"/>
      <c r="GO269" s="5"/>
      <c r="GP269" s="5"/>
      <c r="GQ269" s="5"/>
      <c r="GR269" s="5"/>
      <c r="GS269" s="5"/>
      <c r="GT269" s="5"/>
      <c r="GU269" s="5"/>
      <c r="GV269" s="5"/>
      <c r="GW269" s="5"/>
      <c r="GX269" s="5"/>
      <c r="GY269" s="5"/>
      <c r="GZ269" s="5"/>
      <c r="HA269" s="5"/>
      <c r="HB269" s="5"/>
      <c r="HC269" s="5"/>
      <c r="HD269" s="5"/>
      <c r="HE269" s="5"/>
      <c r="HF269" s="5"/>
      <c r="HG269" s="5"/>
      <c r="HH269" s="5"/>
      <c r="HI269" s="5"/>
      <c r="HJ269" s="5"/>
      <c r="HK269" s="5"/>
      <c r="HL269" s="5"/>
      <c r="HM269" s="5"/>
      <c r="HN269" s="5"/>
      <c r="HO269" s="5"/>
      <c r="HP269" s="5"/>
      <c r="HQ269" s="5"/>
      <c r="HR269" s="5"/>
      <c r="HS269" s="5"/>
      <c r="HT269" s="5"/>
      <c r="HU269" s="5"/>
      <c r="HV269" s="5"/>
      <c r="HW269" s="5"/>
      <c r="HX269" s="5"/>
      <c r="HY269" s="5"/>
      <c r="HZ269" s="5"/>
      <c r="IA269" s="5"/>
      <c r="IB269" s="5"/>
      <c r="IC269" s="5"/>
      <c r="ID269" s="5"/>
    </row>
    <row r="270" spans="1:239" customHeight="1" ht="13.2"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  <c r="CG270" s="5"/>
      <c r="CH270" s="5"/>
      <c r="CI270" s="5"/>
      <c r="CJ270" s="5"/>
      <c r="CK270" s="5"/>
      <c r="CL270" s="5"/>
      <c r="CM270" s="5"/>
      <c r="CN270" s="5"/>
      <c r="CO270" s="5"/>
      <c r="CP270" s="5"/>
      <c r="CQ270" s="5"/>
      <c r="CR270" s="5"/>
      <c r="CS270" s="5"/>
      <c r="CT270" s="5"/>
      <c r="CU270" s="5"/>
      <c r="CV270" s="5"/>
      <c r="CW270" s="5"/>
      <c r="CX270" s="5"/>
      <c r="CY270" s="5"/>
      <c r="CZ270" s="5"/>
      <c r="DA270" s="5"/>
      <c r="DB270" s="5"/>
      <c r="DC270" s="5"/>
      <c r="DD270" s="5"/>
      <c r="DE270" s="5"/>
      <c r="DF270" s="5"/>
      <c r="DG270" s="5"/>
      <c r="DH270" s="5"/>
      <c r="DI270" s="5"/>
      <c r="DJ270" s="5"/>
      <c r="DK270" s="5"/>
      <c r="DL270" s="5"/>
      <c r="DM270" s="5"/>
      <c r="DN270" s="5"/>
      <c r="DO270" s="5"/>
      <c r="DP270" s="5"/>
      <c r="DQ270" s="5"/>
      <c r="DR270" s="5"/>
      <c r="DS270" s="5"/>
      <c r="DT270" s="5"/>
      <c r="DU270" s="5"/>
      <c r="DV270" s="5"/>
      <c r="DW270" s="5"/>
      <c r="DX270" s="5"/>
      <c r="DY270" s="5"/>
      <c r="DZ270" s="5"/>
      <c r="EA270" s="5"/>
      <c r="EB270" s="5"/>
      <c r="EC270" s="5"/>
      <c r="ED270" s="5"/>
      <c r="EE270" s="5"/>
      <c r="EF270" s="5"/>
      <c r="EG270" s="5"/>
      <c r="EH270" s="5"/>
      <c r="EI270" s="5"/>
      <c r="EJ270" s="5"/>
      <c r="EK270" s="5"/>
      <c r="EL270" s="5"/>
      <c r="EM270" s="5"/>
      <c r="EN270" s="5"/>
      <c r="EO270" s="5"/>
      <c r="EP270" s="5"/>
      <c r="EQ270" s="5"/>
      <c r="ER270" s="5"/>
      <c r="ES270" s="5"/>
      <c r="ET270" s="5"/>
      <c r="EU270" s="5"/>
      <c r="EV270" s="5"/>
      <c r="EW270" s="5"/>
      <c r="EX270" s="5"/>
      <c r="EY270" s="5"/>
      <c r="EZ270" s="5"/>
      <c r="FA270" s="5"/>
      <c r="FB270" s="5"/>
      <c r="FC270" s="5"/>
      <c r="FD270" s="5"/>
      <c r="FE270" s="5"/>
      <c r="FF270" s="5"/>
      <c r="FG270" s="5"/>
      <c r="FH270" s="5"/>
      <c r="FI270" s="5"/>
      <c r="FJ270" s="5"/>
      <c r="FK270" s="5"/>
      <c r="FL270" s="5"/>
      <c r="FM270" s="5"/>
      <c r="FN270" s="5"/>
      <c r="FO270" s="5"/>
      <c r="FP270" s="5"/>
      <c r="FQ270" s="5"/>
      <c r="FR270" s="5"/>
      <c r="FS270" s="5"/>
      <c r="FT270" s="5"/>
      <c r="FU270" s="5"/>
      <c r="FV270" s="5"/>
      <c r="FW270" s="5"/>
      <c r="FX270" s="5"/>
      <c r="FY270" s="5"/>
      <c r="FZ270" s="5"/>
      <c r="GA270" s="5"/>
      <c r="GB270" s="5"/>
      <c r="GC270" s="5"/>
      <c r="GD270" s="5"/>
      <c r="GE270" s="5"/>
      <c r="GF270" s="5"/>
      <c r="GG270" s="5"/>
      <c r="GH270" s="5"/>
      <c r="GI270" s="5"/>
      <c r="GJ270" s="5"/>
      <c r="GK270" s="5"/>
      <c r="GL270" s="5"/>
      <c r="GM270" s="5"/>
      <c r="GN270" s="5"/>
      <c r="GO270" s="5"/>
      <c r="GP270" s="5"/>
      <c r="GQ270" s="5"/>
      <c r="GR270" s="5"/>
      <c r="GS270" s="5"/>
      <c r="GT270" s="5"/>
      <c r="GU270" s="5"/>
      <c r="GV270" s="5"/>
      <c r="GW270" s="5"/>
      <c r="GX270" s="5"/>
      <c r="GY270" s="5"/>
      <c r="GZ270" s="5"/>
      <c r="HA270" s="5"/>
      <c r="HB270" s="5"/>
      <c r="HC270" s="5"/>
      <c r="HD270" s="5"/>
      <c r="HE270" s="5"/>
      <c r="HF270" s="5"/>
      <c r="HG270" s="5"/>
      <c r="HH270" s="5"/>
      <c r="HI270" s="5"/>
      <c r="HJ270" s="5"/>
      <c r="HK270" s="5"/>
      <c r="HL270" s="5"/>
      <c r="HM270" s="5"/>
      <c r="HN270" s="5"/>
      <c r="HO270" s="5"/>
      <c r="HP270" s="5"/>
      <c r="HQ270" s="5"/>
      <c r="HR270" s="5"/>
      <c r="HS270" s="5"/>
      <c r="HT270" s="5"/>
      <c r="HU270" s="5"/>
      <c r="HV270" s="5"/>
      <c r="HW270" s="5"/>
      <c r="HX270" s="5"/>
      <c r="HY270" s="5"/>
      <c r="HZ270" s="5"/>
      <c r="IA270" s="5"/>
      <c r="IB270" s="5"/>
      <c r="IC270" s="5"/>
      <c r="ID270" s="5"/>
    </row>
    <row r="271" spans="1:239" customHeight="1" ht="13.2"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  <c r="CG271" s="5"/>
      <c r="CH271" s="5"/>
      <c r="CI271" s="5"/>
      <c r="CJ271" s="5"/>
      <c r="CK271" s="5"/>
      <c r="CL271" s="5"/>
      <c r="CM271" s="5"/>
      <c r="CN271" s="5"/>
      <c r="CO271" s="5"/>
      <c r="CP271" s="5"/>
      <c r="CQ271" s="5"/>
      <c r="CR271" s="5"/>
      <c r="CS271" s="5"/>
      <c r="CT271" s="5"/>
      <c r="CU271" s="5"/>
      <c r="CV271" s="5"/>
      <c r="CW271" s="5"/>
      <c r="CX271" s="5"/>
      <c r="CY271" s="5"/>
      <c r="CZ271" s="5"/>
      <c r="DA271" s="5"/>
      <c r="DB271" s="5"/>
      <c r="DC271" s="5"/>
      <c r="DD271" s="5"/>
      <c r="DE271" s="5"/>
      <c r="DF271" s="5"/>
      <c r="DG271" s="5"/>
      <c r="DH271" s="5"/>
      <c r="DI271" s="5"/>
      <c r="DJ271" s="5"/>
      <c r="DK271" s="5"/>
      <c r="DL271" s="5"/>
      <c r="DM271" s="5"/>
      <c r="DN271" s="5"/>
      <c r="DO271" s="5"/>
      <c r="DP271" s="5"/>
      <c r="DQ271" s="5"/>
      <c r="DR271" s="5"/>
      <c r="DS271" s="5"/>
      <c r="DT271" s="5"/>
      <c r="DU271" s="5"/>
      <c r="DV271" s="5"/>
      <c r="DW271" s="5"/>
      <c r="DX271" s="5"/>
      <c r="DY271" s="5"/>
      <c r="DZ271" s="5"/>
      <c r="EA271" s="5"/>
      <c r="EB271" s="5"/>
      <c r="EC271" s="5"/>
      <c r="ED271" s="5"/>
      <c r="EE271" s="5"/>
      <c r="EF271" s="5"/>
      <c r="EG271" s="5"/>
      <c r="EH271" s="5"/>
      <c r="EI271" s="5"/>
      <c r="EJ271" s="5"/>
      <c r="EK271" s="5"/>
      <c r="EL271" s="5"/>
      <c r="EM271" s="5"/>
      <c r="EN271" s="5"/>
      <c r="EO271" s="5"/>
      <c r="EP271" s="5"/>
      <c r="EQ271" s="5"/>
      <c r="ER271" s="5"/>
      <c r="ES271" s="5"/>
      <c r="ET271" s="5"/>
      <c r="EU271" s="5"/>
      <c r="EV271" s="5"/>
      <c r="EW271" s="5"/>
      <c r="EX271" s="5"/>
      <c r="EY271" s="5"/>
      <c r="EZ271" s="5"/>
      <c r="FA271" s="5"/>
      <c r="FB271" s="5"/>
      <c r="FC271" s="5"/>
      <c r="FD271" s="5"/>
      <c r="FE271" s="5"/>
      <c r="FF271" s="5"/>
      <c r="FG271" s="5"/>
      <c r="FH271" s="5"/>
      <c r="FI271" s="5"/>
      <c r="FJ271" s="5"/>
      <c r="FK271" s="5"/>
      <c r="FL271" s="5"/>
      <c r="FM271" s="5"/>
      <c r="FN271" s="5"/>
      <c r="FO271" s="5"/>
      <c r="FP271" s="5"/>
      <c r="FQ271" s="5"/>
      <c r="FR271" s="5"/>
      <c r="FS271" s="5"/>
      <c r="FT271" s="5"/>
      <c r="FU271" s="5"/>
      <c r="FV271" s="5"/>
      <c r="FW271" s="5"/>
      <c r="FX271" s="5"/>
      <c r="FY271" s="5"/>
      <c r="FZ271" s="5"/>
      <c r="GA271" s="5"/>
      <c r="GB271" s="5"/>
      <c r="GC271" s="5"/>
      <c r="GD271" s="5"/>
      <c r="GE271" s="5"/>
      <c r="GF271" s="5"/>
      <c r="GG271" s="5"/>
      <c r="GH271" s="5"/>
      <c r="GI271" s="5"/>
      <c r="GJ271" s="5"/>
      <c r="GK271" s="5"/>
      <c r="GL271" s="5"/>
      <c r="GM271" s="5"/>
      <c r="GN271" s="5"/>
      <c r="GO271" s="5"/>
      <c r="GP271" s="5"/>
      <c r="GQ271" s="5"/>
      <c r="GR271" s="5"/>
      <c r="GS271" s="5"/>
      <c r="GT271" s="5"/>
      <c r="GU271" s="5"/>
      <c r="GV271" s="5"/>
      <c r="GW271" s="5"/>
      <c r="GX271" s="5"/>
      <c r="GY271" s="5"/>
      <c r="GZ271" s="5"/>
      <c r="HA271" s="5"/>
      <c r="HB271" s="5"/>
      <c r="HC271" s="5"/>
      <c r="HD271" s="5"/>
      <c r="HE271" s="5"/>
      <c r="HF271" s="5"/>
      <c r="HG271" s="5"/>
      <c r="HH271" s="5"/>
      <c r="HI271" s="5"/>
      <c r="HJ271" s="5"/>
      <c r="HK271" s="5"/>
      <c r="HL271" s="5"/>
      <c r="HM271" s="5"/>
      <c r="HN271" s="5"/>
      <c r="HO271" s="5"/>
      <c r="HP271" s="5"/>
      <c r="HQ271" s="5"/>
      <c r="HR271" s="5"/>
      <c r="HS271" s="5"/>
      <c r="HT271" s="5"/>
      <c r="HU271" s="5"/>
      <c r="HV271" s="5"/>
      <c r="HW271" s="5"/>
      <c r="HX271" s="5"/>
      <c r="HY271" s="5"/>
      <c r="HZ271" s="5"/>
      <c r="IA271" s="5"/>
      <c r="IB271" s="5"/>
      <c r="IC271" s="5"/>
      <c r="ID271" s="5"/>
    </row>
    <row r="272" spans="1:239" customHeight="1" ht="13.2"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  <c r="CG272" s="5"/>
      <c r="CH272" s="5"/>
      <c r="CI272" s="5"/>
      <c r="CJ272" s="5"/>
      <c r="CK272" s="5"/>
      <c r="CL272" s="5"/>
      <c r="CM272" s="5"/>
      <c r="CN272" s="5"/>
      <c r="CO272" s="5"/>
      <c r="CP272" s="5"/>
      <c r="CQ272" s="5"/>
      <c r="CR272" s="5"/>
      <c r="CS272" s="5"/>
      <c r="CT272" s="5"/>
      <c r="CU272" s="5"/>
      <c r="CV272" s="5"/>
      <c r="CW272" s="5"/>
      <c r="CX272" s="5"/>
      <c r="CY272" s="5"/>
      <c r="CZ272" s="5"/>
      <c r="DA272" s="5"/>
      <c r="DB272" s="5"/>
      <c r="DC272" s="5"/>
      <c r="DD272" s="5"/>
      <c r="DE272" s="5"/>
      <c r="DF272" s="5"/>
      <c r="DG272" s="5"/>
      <c r="DH272" s="5"/>
      <c r="DI272" s="5"/>
      <c r="DJ272" s="5"/>
      <c r="DK272" s="5"/>
      <c r="DL272" s="5"/>
      <c r="DM272" s="5"/>
      <c r="DN272" s="5"/>
      <c r="DO272" s="5"/>
      <c r="DP272" s="5"/>
      <c r="DQ272" s="5"/>
      <c r="DR272" s="5"/>
      <c r="DS272" s="5"/>
      <c r="DT272" s="5"/>
      <c r="DU272" s="5"/>
      <c r="DV272" s="5"/>
      <c r="DW272" s="5"/>
      <c r="DX272" s="5"/>
      <c r="DY272" s="5"/>
      <c r="DZ272" s="5"/>
      <c r="EA272" s="5"/>
      <c r="EB272" s="5"/>
      <c r="EC272" s="5"/>
      <c r="ED272" s="5"/>
      <c r="EE272" s="5"/>
      <c r="EF272" s="5"/>
      <c r="EG272" s="5"/>
      <c r="EH272" s="5"/>
      <c r="EI272" s="5"/>
      <c r="EJ272" s="5"/>
      <c r="EK272" s="5"/>
      <c r="EL272" s="5"/>
      <c r="EM272" s="5"/>
      <c r="EN272" s="5"/>
      <c r="EO272" s="5"/>
      <c r="EP272" s="5"/>
      <c r="EQ272" s="5"/>
      <c r="ER272" s="5"/>
      <c r="ES272" s="5"/>
      <c r="ET272" s="5"/>
      <c r="EU272" s="5"/>
      <c r="EV272" s="5"/>
      <c r="EW272" s="5"/>
      <c r="EX272" s="5"/>
      <c r="EY272" s="5"/>
      <c r="EZ272" s="5"/>
      <c r="FA272" s="5"/>
      <c r="FB272" s="5"/>
      <c r="FC272" s="5"/>
      <c r="FD272" s="5"/>
      <c r="FE272" s="5"/>
      <c r="FF272" s="5"/>
      <c r="FG272" s="5"/>
      <c r="FH272" s="5"/>
      <c r="FI272" s="5"/>
      <c r="FJ272" s="5"/>
      <c r="FK272" s="5"/>
      <c r="FL272" s="5"/>
      <c r="FM272" s="5"/>
      <c r="FN272" s="5"/>
      <c r="FO272" s="5"/>
      <c r="FP272" s="5"/>
      <c r="FQ272" s="5"/>
      <c r="FR272" s="5"/>
      <c r="FS272" s="5"/>
      <c r="FT272" s="5"/>
      <c r="FU272" s="5"/>
      <c r="FV272" s="5"/>
      <c r="FW272" s="5"/>
      <c r="FX272" s="5"/>
      <c r="FY272" s="5"/>
      <c r="FZ272" s="5"/>
      <c r="GA272" s="5"/>
      <c r="GB272" s="5"/>
      <c r="GC272" s="5"/>
      <c r="GD272" s="5"/>
      <c r="GE272" s="5"/>
      <c r="GF272" s="5"/>
      <c r="GG272" s="5"/>
      <c r="GH272" s="5"/>
      <c r="GI272" s="5"/>
      <c r="GJ272" s="5"/>
      <c r="GK272" s="5"/>
      <c r="GL272" s="5"/>
      <c r="GM272" s="5"/>
      <c r="GN272" s="5"/>
      <c r="GO272" s="5"/>
      <c r="GP272" s="5"/>
      <c r="GQ272" s="5"/>
      <c r="GR272" s="5"/>
      <c r="GS272" s="5"/>
      <c r="GT272" s="5"/>
      <c r="GU272" s="5"/>
      <c r="GV272" s="5"/>
      <c r="GW272" s="5"/>
      <c r="GX272" s="5"/>
      <c r="GY272" s="5"/>
      <c r="GZ272" s="5"/>
      <c r="HA272" s="5"/>
      <c r="HB272" s="5"/>
      <c r="HC272" s="5"/>
      <c r="HD272" s="5"/>
      <c r="HE272" s="5"/>
      <c r="HF272" s="5"/>
      <c r="HG272" s="5"/>
      <c r="HH272" s="5"/>
      <c r="HI272" s="5"/>
      <c r="HJ272" s="5"/>
      <c r="HK272" s="5"/>
      <c r="HL272" s="5"/>
      <c r="HM272" s="5"/>
      <c r="HN272" s="5"/>
      <c r="HO272" s="5"/>
      <c r="HP272" s="5"/>
      <c r="HQ272" s="5"/>
      <c r="HR272" s="5"/>
      <c r="HS272" s="5"/>
      <c r="HT272" s="5"/>
      <c r="HU272" s="5"/>
      <c r="HV272" s="5"/>
      <c r="HW272" s="5"/>
      <c r="HX272" s="5"/>
      <c r="HY272" s="5"/>
      <c r="HZ272" s="5"/>
      <c r="IA272" s="5"/>
      <c r="IB272" s="5"/>
      <c r="IC272" s="5"/>
      <c r="ID272" s="5"/>
    </row>
    <row r="273" spans="1:239" customHeight="1" ht="13.2"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  <c r="CG273" s="5"/>
      <c r="CH273" s="5"/>
      <c r="CI273" s="5"/>
      <c r="CJ273" s="5"/>
      <c r="CK273" s="5"/>
      <c r="CL273" s="5"/>
      <c r="CM273" s="5"/>
      <c r="CN273" s="5"/>
      <c r="CO273" s="5"/>
      <c r="CP273" s="5"/>
      <c r="CQ273" s="5"/>
      <c r="CR273" s="5"/>
      <c r="CS273" s="5"/>
      <c r="CT273" s="5"/>
      <c r="CU273" s="5"/>
      <c r="CV273" s="5"/>
      <c r="CW273" s="5"/>
      <c r="CX273" s="5"/>
      <c r="CY273" s="5"/>
      <c r="CZ273" s="5"/>
      <c r="DA273" s="5"/>
      <c r="DB273" s="5"/>
      <c r="DC273" s="5"/>
      <c r="DD273" s="5"/>
      <c r="DE273" s="5"/>
      <c r="DF273" s="5"/>
      <c r="DG273" s="5"/>
      <c r="DH273" s="5"/>
      <c r="DI273" s="5"/>
      <c r="DJ273" s="5"/>
      <c r="DK273" s="5"/>
      <c r="DL273" s="5"/>
      <c r="DM273" s="5"/>
      <c r="DN273" s="5"/>
      <c r="DO273" s="5"/>
      <c r="DP273" s="5"/>
      <c r="DQ273" s="5"/>
      <c r="DR273" s="5"/>
      <c r="DS273" s="5"/>
      <c r="DT273" s="5"/>
      <c r="DU273" s="5"/>
      <c r="DV273" s="5"/>
      <c r="DW273" s="5"/>
      <c r="DX273" s="5"/>
      <c r="DY273" s="5"/>
      <c r="DZ273" s="5"/>
      <c r="EA273" s="5"/>
      <c r="EB273" s="5"/>
      <c r="EC273" s="5"/>
      <c r="ED273" s="5"/>
      <c r="EE273" s="5"/>
      <c r="EF273" s="5"/>
      <c r="EG273" s="5"/>
      <c r="EH273" s="5"/>
      <c r="EI273" s="5"/>
      <c r="EJ273" s="5"/>
      <c r="EK273" s="5"/>
      <c r="EL273" s="5"/>
      <c r="EM273" s="5"/>
      <c r="EN273" s="5"/>
      <c r="EO273" s="5"/>
      <c r="EP273" s="5"/>
      <c r="EQ273" s="5"/>
      <c r="ER273" s="5"/>
      <c r="ES273" s="5"/>
      <c r="ET273" s="5"/>
      <c r="EU273" s="5"/>
      <c r="EV273" s="5"/>
      <c r="EW273" s="5"/>
      <c r="EX273" s="5"/>
      <c r="EY273" s="5"/>
      <c r="EZ273" s="5"/>
      <c r="FA273" s="5"/>
      <c r="FB273" s="5"/>
      <c r="FC273" s="5"/>
      <c r="FD273" s="5"/>
      <c r="FE273" s="5"/>
      <c r="FF273" s="5"/>
      <c r="FG273" s="5"/>
      <c r="FH273" s="5"/>
      <c r="FI273" s="5"/>
      <c r="FJ273" s="5"/>
      <c r="FK273" s="5"/>
      <c r="FL273" s="5"/>
      <c r="FM273" s="5"/>
      <c r="FN273" s="5"/>
      <c r="FO273" s="5"/>
      <c r="FP273" s="5"/>
      <c r="FQ273" s="5"/>
      <c r="FR273" s="5"/>
      <c r="FS273" s="5"/>
      <c r="FT273" s="5"/>
      <c r="FU273" s="5"/>
      <c r="FV273" s="5"/>
      <c r="FW273" s="5"/>
      <c r="FX273" s="5"/>
      <c r="FY273" s="5"/>
      <c r="FZ273" s="5"/>
      <c r="GA273" s="5"/>
      <c r="GB273" s="5"/>
      <c r="GC273" s="5"/>
      <c r="GD273" s="5"/>
      <c r="GE273" s="5"/>
      <c r="GF273" s="5"/>
      <c r="GG273" s="5"/>
      <c r="GH273" s="5"/>
      <c r="GI273" s="5"/>
      <c r="GJ273" s="5"/>
      <c r="GK273" s="5"/>
      <c r="GL273" s="5"/>
      <c r="GM273" s="5"/>
      <c r="GN273" s="5"/>
      <c r="GO273" s="5"/>
      <c r="GP273" s="5"/>
      <c r="GQ273" s="5"/>
      <c r="GR273" s="5"/>
      <c r="GS273" s="5"/>
      <c r="GT273" s="5"/>
      <c r="GU273" s="5"/>
      <c r="GV273" s="5"/>
      <c r="GW273" s="5"/>
      <c r="GX273" s="5"/>
      <c r="GY273" s="5"/>
      <c r="GZ273" s="5"/>
      <c r="HA273" s="5"/>
      <c r="HB273" s="5"/>
      <c r="HC273" s="5"/>
      <c r="HD273" s="5"/>
      <c r="HE273" s="5"/>
      <c r="HF273" s="5"/>
      <c r="HG273" s="5"/>
      <c r="HH273" s="5"/>
      <c r="HI273" s="5"/>
      <c r="HJ273" s="5"/>
      <c r="HK273" s="5"/>
      <c r="HL273" s="5"/>
      <c r="HM273" s="5"/>
      <c r="HN273" s="5"/>
      <c r="HO273" s="5"/>
      <c r="HP273" s="5"/>
      <c r="HQ273" s="5"/>
      <c r="HR273" s="5"/>
      <c r="HS273" s="5"/>
      <c r="HT273" s="5"/>
      <c r="HU273" s="5"/>
      <c r="HV273" s="5"/>
      <c r="HW273" s="5"/>
      <c r="HX273" s="5"/>
      <c r="HY273" s="5"/>
      <c r="HZ273" s="5"/>
      <c r="IA273" s="5"/>
      <c r="IB273" s="5"/>
      <c r="IC273" s="5"/>
      <c r="ID273" s="5"/>
    </row>
    <row r="274" spans="1:239" customHeight="1" ht="13.2"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  <c r="CO274" s="5"/>
      <c r="CP274" s="5"/>
      <c r="CQ274" s="5"/>
      <c r="CR274" s="5"/>
      <c r="CS274" s="5"/>
      <c r="CT274" s="5"/>
      <c r="CU274" s="5"/>
      <c r="CV274" s="5"/>
      <c r="CW274" s="5"/>
      <c r="CX274" s="5"/>
      <c r="CY274" s="5"/>
      <c r="CZ274" s="5"/>
      <c r="DA274" s="5"/>
      <c r="DB274" s="5"/>
      <c r="DC274" s="5"/>
      <c r="DD274" s="5"/>
      <c r="DE274" s="5"/>
      <c r="DF274" s="5"/>
      <c r="DG274" s="5"/>
      <c r="DH274" s="5"/>
      <c r="DI274" s="5"/>
      <c r="DJ274" s="5"/>
      <c r="DK274" s="5"/>
      <c r="DL274" s="5"/>
      <c r="DM274" s="5"/>
      <c r="DN274" s="5"/>
      <c r="DO274" s="5"/>
      <c r="DP274" s="5"/>
      <c r="DQ274" s="5"/>
      <c r="DR274" s="5"/>
      <c r="DS274" s="5"/>
      <c r="DT274" s="5"/>
      <c r="DU274" s="5"/>
      <c r="DV274" s="5"/>
      <c r="DW274" s="5"/>
      <c r="DX274" s="5"/>
      <c r="DY274" s="5"/>
      <c r="DZ274" s="5"/>
      <c r="EA274" s="5"/>
      <c r="EB274" s="5"/>
      <c r="EC274" s="5"/>
      <c r="ED274" s="5"/>
      <c r="EE274" s="5"/>
      <c r="EF274" s="5"/>
      <c r="EG274" s="5"/>
      <c r="EH274" s="5"/>
      <c r="EI274" s="5"/>
      <c r="EJ274" s="5"/>
      <c r="EK274" s="5"/>
      <c r="EL274" s="5"/>
      <c r="EM274" s="5"/>
      <c r="EN274" s="5"/>
      <c r="EO274" s="5"/>
      <c r="EP274" s="5"/>
      <c r="EQ274" s="5"/>
      <c r="ER274" s="5"/>
      <c r="ES274" s="5"/>
      <c r="ET274" s="5"/>
      <c r="EU274" s="5"/>
      <c r="EV274" s="5"/>
      <c r="EW274" s="5"/>
      <c r="EX274" s="5"/>
      <c r="EY274" s="5"/>
      <c r="EZ274" s="5"/>
      <c r="FA274" s="5"/>
      <c r="FB274" s="5"/>
      <c r="FC274" s="5"/>
      <c r="FD274" s="5"/>
      <c r="FE274" s="5"/>
      <c r="FF274" s="5"/>
      <c r="FG274" s="5"/>
      <c r="FH274" s="5"/>
      <c r="FI274" s="5"/>
      <c r="FJ274" s="5"/>
      <c r="FK274" s="5"/>
      <c r="FL274" s="5"/>
      <c r="FM274" s="5"/>
      <c r="FN274" s="5"/>
      <c r="FO274" s="5"/>
      <c r="FP274" s="5"/>
      <c r="FQ274" s="5"/>
      <c r="FR274" s="5"/>
      <c r="FS274" s="5"/>
      <c r="FT274" s="5"/>
      <c r="FU274" s="5"/>
      <c r="FV274" s="5"/>
      <c r="FW274" s="5"/>
      <c r="FX274" s="5"/>
      <c r="FY274" s="5"/>
      <c r="FZ274" s="5"/>
      <c r="GA274" s="5"/>
      <c r="GB274" s="5"/>
      <c r="GC274" s="5"/>
      <c r="GD274" s="5"/>
      <c r="GE274" s="5"/>
      <c r="GF274" s="5"/>
      <c r="GG274" s="5"/>
      <c r="GH274" s="5"/>
      <c r="GI274" s="5"/>
      <c r="GJ274" s="5"/>
      <c r="GK274" s="5"/>
      <c r="GL274" s="5"/>
      <c r="GM274" s="5"/>
      <c r="GN274" s="5"/>
      <c r="GO274" s="5"/>
      <c r="GP274" s="5"/>
      <c r="GQ274" s="5"/>
      <c r="GR274" s="5"/>
      <c r="GS274" s="5"/>
      <c r="GT274" s="5"/>
      <c r="GU274" s="5"/>
      <c r="GV274" s="5"/>
      <c r="GW274" s="5"/>
      <c r="GX274" s="5"/>
      <c r="GY274" s="5"/>
      <c r="GZ274" s="5"/>
      <c r="HA274" s="5"/>
      <c r="HB274" s="5"/>
      <c r="HC274" s="5"/>
      <c r="HD274" s="5"/>
      <c r="HE274" s="5"/>
      <c r="HF274" s="5"/>
      <c r="HG274" s="5"/>
      <c r="HH274" s="5"/>
      <c r="HI274" s="5"/>
      <c r="HJ274" s="5"/>
      <c r="HK274" s="5"/>
      <c r="HL274" s="5"/>
      <c r="HM274" s="5"/>
      <c r="HN274" s="5"/>
      <c r="HO274" s="5"/>
      <c r="HP274" s="5"/>
      <c r="HQ274" s="5"/>
      <c r="HR274" s="5"/>
      <c r="HS274" s="5"/>
      <c r="HT274" s="5"/>
      <c r="HU274" s="5"/>
      <c r="HV274" s="5"/>
      <c r="HW274" s="5"/>
      <c r="HX274" s="5"/>
      <c r="HY274" s="5"/>
      <c r="HZ274" s="5"/>
      <c r="IA274" s="5"/>
      <c r="IB274" s="5"/>
      <c r="IC274" s="5"/>
      <c r="ID274" s="5"/>
    </row>
    <row r="275" spans="1:239" customHeight="1" ht="13.2"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  <c r="CO275" s="5"/>
      <c r="CP275" s="5"/>
      <c r="CQ275" s="5"/>
      <c r="CR275" s="5"/>
      <c r="CS275" s="5"/>
      <c r="CT275" s="5"/>
      <c r="CU275" s="5"/>
      <c r="CV275" s="5"/>
      <c r="CW275" s="5"/>
      <c r="CX275" s="5"/>
      <c r="CY275" s="5"/>
      <c r="CZ275" s="5"/>
      <c r="DA275" s="5"/>
      <c r="DB275" s="5"/>
      <c r="DC275" s="5"/>
      <c r="DD275" s="5"/>
      <c r="DE275" s="5"/>
      <c r="DF275" s="5"/>
      <c r="DG275" s="5"/>
      <c r="DH275" s="5"/>
      <c r="DI275" s="5"/>
      <c r="DJ275" s="5"/>
      <c r="DK275" s="5"/>
      <c r="DL275" s="5"/>
      <c r="DM275" s="5"/>
      <c r="DN275" s="5"/>
      <c r="DO275" s="5"/>
      <c r="DP275" s="5"/>
      <c r="DQ275" s="5"/>
      <c r="DR275" s="5"/>
      <c r="DS275" s="5"/>
      <c r="DT275" s="5"/>
      <c r="DU275" s="5"/>
      <c r="DV275" s="5"/>
      <c r="DW275" s="5"/>
      <c r="DX275" s="5"/>
      <c r="DY275" s="5"/>
      <c r="DZ275" s="5"/>
      <c r="EA275" s="5"/>
      <c r="EB275" s="5"/>
      <c r="EC275" s="5"/>
      <c r="ED275" s="5"/>
      <c r="EE275" s="5"/>
      <c r="EF275" s="5"/>
      <c r="EG275" s="5"/>
      <c r="EH275" s="5"/>
      <c r="EI275" s="5"/>
      <c r="EJ275" s="5"/>
      <c r="EK275" s="5"/>
      <c r="EL275" s="5"/>
      <c r="EM275" s="5"/>
      <c r="EN275" s="5"/>
      <c r="EO275" s="5"/>
      <c r="EP275" s="5"/>
      <c r="EQ275" s="5"/>
      <c r="ER275" s="5"/>
      <c r="ES275" s="5"/>
      <c r="ET275" s="5"/>
      <c r="EU275" s="5"/>
      <c r="EV275" s="5"/>
      <c r="EW275" s="5"/>
      <c r="EX275" s="5"/>
      <c r="EY275" s="5"/>
      <c r="EZ275" s="5"/>
      <c r="FA275" s="5"/>
      <c r="FB275" s="5"/>
      <c r="FC275" s="5"/>
      <c r="FD275" s="5"/>
      <c r="FE275" s="5"/>
      <c r="FF275" s="5"/>
      <c r="FG275" s="5"/>
      <c r="FH275" s="5"/>
      <c r="FI275" s="5"/>
      <c r="FJ275" s="5"/>
      <c r="FK275" s="5"/>
      <c r="FL275" s="5"/>
      <c r="FM275" s="5"/>
      <c r="FN275" s="5"/>
      <c r="FO275" s="5"/>
      <c r="FP275" s="5"/>
      <c r="FQ275" s="5"/>
      <c r="FR275" s="5"/>
      <c r="FS275" s="5"/>
      <c r="FT275" s="5"/>
      <c r="FU275" s="5"/>
      <c r="FV275" s="5"/>
      <c r="FW275" s="5"/>
      <c r="FX275" s="5"/>
      <c r="FY275" s="5"/>
      <c r="FZ275" s="5"/>
      <c r="GA275" s="5"/>
      <c r="GB275" s="5"/>
      <c r="GC275" s="5"/>
      <c r="GD275" s="5"/>
      <c r="GE275" s="5"/>
      <c r="GF275" s="5"/>
      <c r="GG275" s="5"/>
      <c r="GH275" s="5"/>
      <c r="GI275" s="5"/>
      <c r="GJ275" s="5"/>
      <c r="GK275" s="5"/>
      <c r="GL275" s="5"/>
      <c r="GM275" s="5"/>
      <c r="GN275" s="5"/>
      <c r="GO275" s="5"/>
      <c r="GP275" s="5"/>
      <c r="GQ275" s="5"/>
      <c r="GR275" s="5"/>
      <c r="GS275" s="5"/>
      <c r="GT275" s="5"/>
      <c r="GU275" s="5"/>
      <c r="GV275" s="5"/>
      <c r="GW275" s="5"/>
      <c r="GX275" s="5"/>
      <c r="GY275" s="5"/>
      <c r="GZ275" s="5"/>
      <c r="HA275" s="5"/>
      <c r="HB275" s="5"/>
      <c r="HC275" s="5"/>
      <c r="HD275" s="5"/>
      <c r="HE275" s="5"/>
      <c r="HF275" s="5"/>
      <c r="HG275" s="5"/>
      <c r="HH275" s="5"/>
      <c r="HI275" s="5"/>
      <c r="HJ275" s="5"/>
      <c r="HK275" s="5"/>
      <c r="HL275" s="5"/>
      <c r="HM275" s="5"/>
      <c r="HN275" s="5"/>
      <c r="HO275" s="5"/>
      <c r="HP275" s="5"/>
      <c r="HQ275" s="5"/>
      <c r="HR275" s="5"/>
      <c r="HS275" s="5"/>
      <c r="HT275" s="5"/>
      <c r="HU275" s="5"/>
      <c r="HV275" s="5"/>
      <c r="HW275" s="5"/>
      <c r="HX275" s="5"/>
      <c r="HY275" s="5"/>
      <c r="HZ275" s="5"/>
      <c r="IA275" s="5"/>
      <c r="IB275" s="5"/>
      <c r="IC275" s="5"/>
      <c r="ID275" s="5"/>
    </row>
    <row r="276" spans="1:239" customHeight="1" ht="13.2"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  <c r="CG276" s="5"/>
      <c r="CH276" s="5"/>
      <c r="CI276" s="5"/>
      <c r="CJ276" s="5"/>
      <c r="CK276" s="5"/>
      <c r="CL276" s="5"/>
      <c r="CM276" s="5"/>
      <c r="CN276" s="5"/>
      <c r="CO276" s="5"/>
      <c r="CP276" s="5"/>
      <c r="CQ276" s="5"/>
      <c r="CR276" s="5"/>
      <c r="CS276" s="5"/>
      <c r="CT276" s="5"/>
      <c r="CU276" s="5"/>
      <c r="CV276" s="5"/>
      <c r="CW276" s="5"/>
      <c r="CX276" s="5"/>
      <c r="CY276" s="5"/>
      <c r="CZ276" s="5"/>
      <c r="DA276" s="5"/>
      <c r="DB276" s="5"/>
      <c r="DC276" s="5"/>
      <c r="DD276" s="5"/>
      <c r="DE276" s="5"/>
      <c r="DF276" s="5"/>
      <c r="DG276" s="5"/>
      <c r="DH276" s="5"/>
      <c r="DI276" s="5"/>
      <c r="DJ276" s="5"/>
      <c r="DK276" s="5"/>
      <c r="DL276" s="5"/>
      <c r="DM276" s="5"/>
      <c r="DN276" s="5"/>
      <c r="DO276" s="5"/>
      <c r="DP276" s="5"/>
      <c r="DQ276" s="5"/>
      <c r="DR276" s="5"/>
      <c r="DS276" s="5"/>
      <c r="DT276" s="5"/>
      <c r="DU276" s="5"/>
      <c r="DV276" s="5"/>
      <c r="DW276" s="5"/>
      <c r="DX276" s="5"/>
      <c r="DY276" s="5"/>
      <c r="DZ276" s="5"/>
      <c r="EA276" s="5"/>
      <c r="EB276" s="5"/>
      <c r="EC276" s="5"/>
      <c r="ED276" s="5"/>
      <c r="EE276" s="5"/>
      <c r="EF276" s="5"/>
      <c r="EG276" s="5"/>
      <c r="EH276" s="5"/>
      <c r="EI276" s="5"/>
      <c r="EJ276" s="5"/>
      <c r="EK276" s="5"/>
      <c r="EL276" s="5"/>
      <c r="EM276" s="5"/>
      <c r="EN276" s="5"/>
      <c r="EO276" s="5"/>
      <c r="EP276" s="5"/>
      <c r="EQ276" s="5"/>
      <c r="ER276" s="5"/>
      <c r="ES276" s="5"/>
      <c r="ET276" s="5"/>
      <c r="EU276" s="5"/>
      <c r="EV276" s="5"/>
      <c r="EW276" s="5"/>
      <c r="EX276" s="5"/>
      <c r="EY276" s="5"/>
      <c r="EZ276" s="5"/>
      <c r="FA276" s="5"/>
      <c r="FB276" s="5"/>
      <c r="FC276" s="5"/>
      <c r="FD276" s="5"/>
      <c r="FE276" s="5"/>
      <c r="FF276" s="5"/>
      <c r="FG276" s="5"/>
      <c r="FH276" s="5"/>
      <c r="FI276" s="5"/>
      <c r="FJ276" s="5"/>
      <c r="FK276" s="5"/>
      <c r="FL276" s="5"/>
      <c r="FM276" s="5"/>
      <c r="FN276" s="5"/>
      <c r="FO276" s="5"/>
      <c r="FP276" s="5"/>
      <c r="FQ276" s="5"/>
      <c r="FR276" s="5"/>
      <c r="FS276" s="5"/>
      <c r="FT276" s="5"/>
      <c r="FU276" s="5"/>
      <c r="FV276" s="5"/>
      <c r="FW276" s="5"/>
      <c r="FX276" s="5"/>
      <c r="FY276" s="5"/>
      <c r="FZ276" s="5"/>
      <c r="GA276" s="5"/>
      <c r="GB276" s="5"/>
      <c r="GC276" s="5"/>
      <c r="GD276" s="5"/>
      <c r="GE276" s="5"/>
      <c r="GF276" s="5"/>
      <c r="GG276" s="5"/>
      <c r="GH276" s="5"/>
      <c r="GI276" s="5"/>
      <c r="GJ276" s="5"/>
      <c r="GK276" s="5"/>
      <c r="GL276" s="5"/>
      <c r="GM276" s="5"/>
      <c r="GN276" s="5"/>
      <c r="GO276" s="5"/>
      <c r="GP276" s="5"/>
      <c r="GQ276" s="5"/>
      <c r="GR276" s="5"/>
      <c r="GS276" s="5"/>
      <c r="GT276" s="5"/>
      <c r="GU276" s="5"/>
      <c r="GV276" s="5"/>
      <c r="GW276" s="5"/>
      <c r="GX276" s="5"/>
      <c r="GY276" s="5"/>
      <c r="GZ276" s="5"/>
      <c r="HA276" s="5"/>
      <c r="HB276" s="5"/>
      <c r="HC276" s="5"/>
      <c r="HD276" s="5"/>
      <c r="HE276" s="5"/>
      <c r="HF276" s="5"/>
      <c r="HG276" s="5"/>
      <c r="HH276" s="5"/>
      <c r="HI276" s="5"/>
      <c r="HJ276" s="5"/>
      <c r="HK276" s="5"/>
      <c r="HL276" s="5"/>
      <c r="HM276" s="5"/>
      <c r="HN276" s="5"/>
      <c r="HO276" s="5"/>
      <c r="HP276" s="5"/>
      <c r="HQ276" s="5"/>
      <c r="HR276" s="5"/>
      <c r="HS276" s="5"/>
      <c r="HT276" s="5"/>
      <c r="HU276" s="5"/>
      <c r="HV276" s="5"/>
      <c r="HW276" s="5"/>
      <c r="HX276" s="5"/>
      <c r="HY276" s="5"/>
      <c r="HZ276" s="5"/>
      <c r="IA276" s="5"/>
      <c r="IB276" s="5"/>
      <c r="IC276" s="5"/>
      <c r="ID276" s="5"/>
    </row>
    <row r="277" spans="1:239" customHeight="1" ht="13.2"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  <c r="CG277" s="5"/>
      <c r="CH277" s="5"/>
      <c r="CI277" s="5"/>
      <c r="CJ277" s="5"/>
      <c r="CK277" s="5"/>
      <c r="CL277" s="5"/>
      <c r="CM277" s="5"/>
      <c r="CN277" s="5"/>
      <c r="CO277" s="5"/>
      <c r="CP277" s="5"/>
      <c r="CQ277" s="5"/>
      <c r="CR277" s="5"/>
      <c r="CS277" s="5"/>
      <c r="CT277" s="5"/>
      <c r="CU277" s="5"/>
      <c r="CV277" s="5"/>
      <c r="CW277" s="5"/>
      <c r="CX277" s="5"/>
      <c r="CY277" s="5"/>
      <c r="CZ277" s="5"/>
      <c r="DA277" s="5"/>
      <c r="DB277" s="5"/>
      <c r="DC277" s="5"/>
      <c r="DD277" s="5"/>
      <c r="DE277" s="5"/>
      <c r="DF277" s="5"/>
      <c r="DG277" s="5"/>
      <c r="DH277" s="5"/>
      <c r="DI277" s="5"/>
      <c r="DJ277" s="5"/>
      <c r="DK277" s="5"/>
      <c r="DL277" s="5"/>
      <c r="DM277" s="5"/>
      <c r="DN277" s="5"/>
      <c r="DO277" s="5"/>
      <c r="DP277" s="5"/>
      <c r="DQ277" s="5"/>
      <c r="DR277" s="5"/>
      <c r="DS277" s="5"/>
      <c r="DT277" s="5"/>
      <c r="DU277" s="5"/>
      <c r="DV277" s="5"/>
      <c r="DW277" s="5"/>
      <c r="DX277" s="5"/>
      <c r="DY277" s="5"/>
      <c r="DZ277" s="5"/>
      <c r="EA277" s="5"/>
      <c r="EB277" s="5"/>
      <c r="EC277" s="5"/>
      <c r="ED277" s="5"/>
      <c r="EE277" s="5"/>
      <c r="EF277" s="5"/>
      <c r="EG277" s="5"/>
      <c r="EH277" s="5"/>
      <c r="EI277" s="5"/>
      <c r="EJ277" s="5"/>
      <c r="EK277" s="5"/>
      <c r="EL277" s="5"/>
      <c r="EM277" s="5"/>
      <c r="EN277" s="5"/>
      <c r="EO277" s="5"/>
      <c r="EP277" s="5"/>
      <c r="EQ277" s="5"/>
      <c r="ER277" s="5"/>
      <c r="ES277" s="5"/>
      <c r="ET277" s="5"/>
      <c r="EU277" s="5"/>
      <c r="EV277" s="5"/>
      <c r="EW277" s="5"/>
      <c r="EX277" s="5"/>
      <c r="EY277" s="5"/>
      <c r="EZ277" s="5"/>
      <c r="FA277" s="5"/>
      <c r="FB277" s="5"/>
      <c r="FC277" s="5"/>
      <c r="FD277" s="5"/>
      <c r="FE277" s="5"/>
      <c r="FF277" s="5"/>
      <c r="FG277" s="5"/>
      <c r="FH277" s="5"/>
      <c r="FI277" s="5"/>
      <c r="FJ277" s="5"/>
      <c r="FK277" s="5"/>
      <c r="FL277" s="5"/>
      <c r="FM277" s="5"/>
      <c r="FN277" s="5"/>
      <c r="FO277" s="5"/>
      <c r="FP277" s="5"/>
      <c r="FQ277" s="5"/>
      <c r="FR277" s="5"/>
      <c r="FS277" s="5"/>
      <c r="FT277" s="5"/>
      <c r="FU277" s="5"/>
      <c r="FV277" s="5"/>
      <c r="FW277" s="5"/>
      <c r="FX277" s="5"/>
      <c r="FY277" s="5"/>
      <c r="FZ277" s="5"/>
      <c r="GA277" s="5"/>
      <c r="GB277" s="5"/>
      <c r="GC277" s="5"/>
      <c r="GD277" s="5"/>
      <c r="GE277" s="5"/>
      <c r="GF277" s="5"/>
      <c r="GG277" s="5"/>
      <c r="GH277" s="5"/>
      <c r="GI277" s="5"/>
      <c r="GJ277" s="5"/>
      <c r="GK277" s="5"/>
      <c r="GL277" s="5"/>
      <c r="GM277" s="5"/>
      <c r="GN277" s="5"/>
      <c r="GO277" s="5"/>
      <c r="GP277" s="5"/>
      <c r="GQ277" s="5"/>
      <c r="GR277" s="5"/>
      <c r="GS277" s="5"/>
      <c r="GT277" s="5"/>
      <c r="GU277" s="5"/>
      <c r="GV277" s="5"/>
      <c r="GW277" s="5"/>
      <c r="GX277" s="5"/>
      <c r="GY277" s="5"/>
      <c r="GZ277" s="5"/>
      <c r="HA277" s="5"/>
      <c r="HB277" s="5"/>
      <c r="HC277" s="5"/>
      <c r="HD277" s="5"/>
      <c r="HE277" s="5"/>
      <c r="HF277" s="5"/>
      <c r="HG277" s="5"/>
      <c r="HH277" s="5"/>
      <c r="HI277" s="5"/>
      <c r="HJ277" s="5"/>
      <c r="HK277" s="5"/>
      <c r="HL277" s="5"/>
      <c r="HM277" s="5"/>
      <c r="HN277" s="5"/>
      <c r="HO277" s="5"/>
      <c r="HP277" s="5"/>
      <c r="HQ277" s="5"/>
      <c r="HR277" s="5"/>
      <c r="HS277" s="5"/>
      <c r="HT277" s="5"/>
      <c r="HU277" s="5"/>
      <c r="HV277" s="5"/>
      <c r="HW277" s="5"/>
      <c r="HX277" s="5"/>
      <c r="HY277" s="5"/>
      <c r="HZ277" s="5"/>
      <c r="IA277" s="5"/>
      <c r="IB277" s="5"/>
      <c r="IC277" s="5"/>
      <c r="ID277" s="5"/>
    </row>
    <row r="278" spans="1:239" customHeight="1" ht="13.2"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  <c r="CH278" s="5"/>
      <c r="CI278" s="5"/>
      <c r="CJ278" s="5"/>
      <c r="CK278" s="5"/>
      <c r="CL278" s="5"/>
      <c r="CM278" s="5"/>
      <c r="CN278" s="5"/>
      <c r="CO278" s="5"/>
      <c r="CP278" s="5"/>
      <c r="CQ278" s="5"/>
      <c r="CR278" s="5"/>
      <c r="CS278" s="5"/>
      <c r="CT278" s="5"/>
      <c r="CU278" s="5"/>
      <c r="CV278" s="5"/>
      <c r="CW278" s="5"/>
      <c r="CX278" s="5"/>
      <c r="CY278" s="5"/>
      <c r="CZ278" s="5"/>
      <c r="DA278" s="5"/>
      <c r="DB278" s="5"/>
      <c r="DC278" s="5"/>
      <c r="DD278" s="5"/>
      <c r="DE278" s="5"/>
      <c r="DF278" s="5"/>
      <c r="DG278" s="5"/>
      <c r="DH278" s="5"/>
      <c r="DI278" s="5"/>
      <c r="DJ278" s="5"/>
      <c r="DK278" s="5"/>
      <c r="DL278" s="5"/>
      <c r="DM278" s="5"/>
      <c r="DN278" s="5"/>
      <c r="DO278" s="5"/>
      <c r="DP278" s="5"/>
      <c r="DQ278" s="5"/>
      <c r="DR278" s="5"/>
      <c r="DS278" s="5"/>
      <c r="DT278" s="5"/>
      <c r="DU278" s="5"/>
      <c r="DV278" s="5"/>
      <c r="DW278" s="5"/>
      <c r="DX278" s="5"/>
      <c r="DY278" s="5"/>
      <c r="DZ278" s="5"/>
      <c r="EA278" s="5"/>
      <c r="EB278" s="5"/>
      <c r="EC278" s="5"/>
      <c r="ED278" s="5"/>
      <c r="EE278" s="5"/>
      <c r="EF278" s="5"/>
      <c r="EG278" s="5"/>
      <c r="EH278" s="5"/>
      <c r="EI278" s="5"/>
      <c r="EJ278" s="5"/>
      <c r="EK278" s="5"/>
      <c r="EL278" s="5"/>
      <c r="EM278" s="5"/>
      <c r="EN278" s="5"/>
      <c r="EO278" s="5"/>
      <c r="EP278" s="5"/>
      <c r="EQ278" s="5"/>
      <c r="ER278" s="5"/>
      <c r="ES278" s="5"/>
      <c r="ET278" s="5"/>
      <c r="EU278" s="5"/>
      <c r="EV278" s="5"/>
      <c r="EW278" s="5"/>
      <c r="EX278" s="5"/>
      <c r="EY278" s="5"/>
      <c r="EZ278" s="5"/>
      <c r="FA278" s="5"/>
      <c r="FB278" s="5"/>
      <c r="FC278" s="5"/>
      <c r="FD278" s="5"/>
      <c r="FE278" s="5"/>
      <c r="FF278" s="5"/>
      <c r="FG278" s="5"/>
      <c r="FH278" s="5"/>
      <c r="FI278" s="5"/>
      <c r="FJ278" s="5"/>
      <c r="FK278" s="5"/>
      <c r="FL278" s="5"/>
      <c r="FM278" s="5"/>
      <c r="FN278" s="5"/>
      <c r="FO278" s="5"/>
      <c r="FP278" s="5"/>
      <c r="FQ278" s="5"/>
      <c r="FR278" s="5"/>
      <c r="FS278" s="5"/>
      <c r="FT278" s="5"/>
      <c r="FU278" s="5"/>
      <c r="FV278" s="5"/>
      <c r="FW278" s="5"/>
      <c r="FX278" s="5"/>
      <c r="FY278" s="5"/>
      <c r="FZ278" s="5"/>
      <c r="GA278" s="5"/>
      <c r="GB278" s="5"/>
      <c r="GC278" s="5"/>
      <c r="GD278" s="5"/>
      <c r="GE278" s="5"/>
      <c r="GF278" s="5"/>
      <c r="GG278" s="5"/>
      <c r="GH278" s="5"/>
      <c r="GI278" s="5"/>
      <c r="GJ278" s="5"/>
      <c r="GK278" s="5"/>
      <c r="GL278" s="5"/>
      <c r="GM278" s="5"/>
      <c r="GN278" s="5"/>
      <c r="GO278" s="5"/>
      <c r="GP278" s="5"/>
      <c r="GQ278" s="5"/>
      <c r="GR278" s="5"/>
      <c r="GS278" s="5"/>
      <c r="GT278" s="5"/>
      <c r="GU278" s="5"/>
      <c r="GV278" s="5"/>
      <c r="GW278" s="5"/>
      <c r="GX278" s="5"/>
      <c r="GY278" s="5"/>
      <c r="GZ278" s="5"/>
      <c r="HA278" s="5"/>
      <c r="HB278" s="5"/>
      <c r="HC278" s="5"/>
      <c r="HD278" s="5"/>
      <c r="HE278" s="5"/>
      <c r="HF278" s="5"/>
      <c r="HG278" s="5"/>
      <c r="HH278" s="5"/>
      <c r="HI278" s="5"/>
      <c r="HJ278" s="5"/>
      <c r="HK278" s="5"/>
      <c r="HL278" s="5"/>
      <c r="HM278" s="5"/>
      <c r="HN278" s="5"/>
      <c r="HO278" s="5"/>
      <c r="HP278" s="5"/>
      <c r="HQ278" s="5"/>
      <c r="HR278" s="5"/>
      <c r="HS278" s="5"/>
      <c r="HT278" s="5"/>
      <c r="HU278" s="5"/>
      <c r="HV278" s="5"/>
      <c r="HW278" s="5"/>
      <c r="HX278" s="5"/>
      <c r="HY278" s="5"/>
      <c r="HZ278" s="5"/>
      <c r="IA278" s="5"/>
      <c r="IB278" s="5"/>
      <c r="IC278" s="5"/>
      <c r="ID278" s="5"/>
    </row>
    <row r="279" spans="1:239" customHeight="1" ht="13.2"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  <c r="CG279" s="5"/>
      <c r="CH279" s="5"/>
      <c r="CI279" s="5"/>
      <c r="CJ279" s="5"/>
      <c r="CK279" s="5"/>
      <c r="CL279" s="5"/>
      <c r="CM279" s="5"/>
      <c r="CN279" s="5"/>
      <c r="CO279" s="5"/>
      <c r="CP279" s="5"/>
      <c r="CQ279" s="5"/>
      <c r="CR279" s="5"/>
      <c r="CS279" s="5"/>
      <c r="CT279" s="5"/>
      <c r="CU279" s="5"/>
      <c r="CV279" s="5"/>
      <c r="CW279" s="5"/>
      <c r="CX279" s="5"/>
      <c r="CY279" s="5"/>
      <c r="CZ279" s="5"/>
      <c r="DA279" s="5"/>
      <c r="DB279" s="5"/>
      <c r="DC279" s="5"/>
      <c r="DD279" s="5"/>
      <c r="DE279" s="5"/>
      <c r="DF279" s="5"/>
      <c r="DG279" s="5"/>
      <c r="DH279" s="5"/>
      <c r="DI279" s="5"/>
      <c r="DJ279" s="5"/>
      <c r="DK279" s="5"/>
      <c r="DL279" s="5"/>
      <c r="DM279" s="5"/>
      <c r="DN279" s="5"/>
      <c r="DO279" s="5"/>
      <c r="DP279" s="5"/>
      <c r="DQ279" s="5"/>
      <c r="DR279" s="5"/>
      <c r="DS279" s="5"/>
      <c r="DT279" s="5"/>
      <c r="DU279" s="5"/>
      <c r="DV279" s="5"/>
      <c r="DW279" s="5"/>
      <c r="DX279" s="5"/>
      <c r="DY279" s="5"/>
      <c r="DZ279" s="5"/>
      <c r="EA279" s="5"/>
      <c r="EB279" s="5"/>
      <c r="EC279" s="5"/>
      <c r="ED279" s="5"/>
      <c r="EE279" s="5"/>
      <c r="EF279" s="5"/>
      <c r="EG279" s="5"/>
      <c r="EH279" s="5"/>
      <c r="EI279" s="5"/>
      <c r="EJ279" s="5"/>
      <c r="EK279" s="5"/>
      <c r="EL279" s="5"/>
      <c r="EM279" s="5"/>
      <c r="EN279" s="5"/>
      <c r="EO279" s="5"/>
      <c r="EP279" s="5"/>
      <c r="EQ279" s="5"/>
      <c r="ER279" s="5"/>
      <c r="ES279" s="5"/>
      <c r="ET279" s="5"/>
      <c r="EU279" s="5"/>
      <c r="EV279" s="5"/>
      <c r="EW279" s="5"/>
      <c r="EX279" s="5"/>
      <c r="EY279" s="5"/>
      <c r="EZ279" s="5"/>
      <c r="FA279" s="5"/>
      <c r="FB279" s="5"/>
      <c r="FC279" s="5"/>
      <c r="FD279" s="5"/>
      <c r="FE279" s="5"/>
      <c r="FF279" s="5"/>
      <c r="FG279" s="5"/>
      <c r="FH279" s="5"/>
      <c r="FI279" s="5"/>
      <c r="FJ279" s="5"/>
      <c r="FK279" s="5"/>
      <c r="FL279" s="5"/>
      <c r="FM279" s="5"/>
      <c r="FN279" s="5"/>
      <c r="FO279" s="5"/>
      <c r="FP279" s="5"/>
      <c r="FQ279" s="5"/>
      <c r="FR279" s="5"/>
      <c r="FS279" s="5"/>
      <c r="FT279" s="5"/>
      <c r="FU279" s="5"/>
      <c r="FV279" s="5"/>
      <c r="FW279" s="5"/>
      <c r="FX279" s="5"/>
      <c r="FY279" s="5"/>
      <c r="FZ279" s="5"/>
      <c r="GA279" s="5"/>
      <c r="GB279" s="5"/>
      <c r="GC279" s="5"/>
      <c r="GD279" s="5"/>
      <c r="GE279" s="5"/>
      <c r="GF279" s="5"/>
      <c r="GG279" s="5"/>
      <c r="GH279" s="5"/>
      <c r="GI279" s="5"/>
      <c r="GJ279" s="5"/>
      <c r="GK279" s="5"/>
      <c r="GL279" s="5"/>
      <c r="GM279" s="5"/>
      <c r="GN279" s="5"/>
      <c r="GO279" s="5"/>
      <c r="GP279" s="5"/>
      <c r="GQ279" s="5"/>
      <c r="GR279" s="5"/>
      <c r="GS279" s="5"/>
      <c r="GT279" s="5"/>
      <c r="GU279" s="5"/>
      <c r="GV279" s="5"/>
      <c r="GW279" s="5"/>
      <c r="GX279" s="5"/>
      <c r="GY279" s="5"/>
      <c r="GZ279" s="5"/>
      <c r="HA279" s="5"/>
      <c r="HB279" s="5"/>
      <c r="HC279" s="5"/>
      <c r="HD279" s="5"/>
      <c r="HE279" s="5"/>
      <c r="HF279" s="5"/>
      <c r="HG279" s="5"/>
      <c r="HH279" s="5"/>
      <c r="HI279" s="5"/>
      <c r="HJ279" s="5"/>
      <c r="HK279" s="5"/>
      <c r="HL279" s="5"/>
      <c r="HM279" s="5"/>
      <c r="HN279" s="5"/>
      <c r="HO279" s="5"/>
      <c r="HP279" s="5"/>
      <c r="HQ279" s="5"/>
      <c r="HR279" s="5"/>
      <c r="HS279" s="5"/>
      <c r="HT279" s="5"/>
      <c r="HU279" s="5"/>
      <c r="HV279" s="5"/>
      <c r="HW279" s="5"/>
      <c r="HX279" s="5"/>
      <c r="HY279" s="5"/>
      <c r="HZ279" s="5"/>
      <c r="IA279" s="5"/>
      <c r="IB279" s="5"/>
      <c r="IC279" s="5"/>
      <c r="ID279" s="5"/>
    </row>
    <row r="280" spans="1:239" customHeight="1" ht="13.2"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  <c r="CH280" s="5"/>
      <c r="CI280" s="5"/>
      <c r="CJ280" s="5"/>
      <c r="CK280" s="5"/>
      <c r="CL280" s="5"/>
      <c r="CM280" s="5"/>
      <c r="CN280" s="5"/>
      <c r="CO280" s="5"/>
      <c r="CP280" s="5"/>
      <c r="CQ280" s="5"/>
      <c r="CR280" s="5"/>
      <c r="CS280" s="5"/>
      <c r="CT280" s="5"/>
      <c r="CU280" s="5"/>
      <c r="CV280" s="5"/>
      <c r="CW280" s="5"/>
      <c r="CX280" s="5"/>
      <c r="CY280" s="5"/>
      <c r="CZ280" s="5"/>
      <c r="DA280" s="5"/>
      <c r="DB280" s="5"/>
      <c r="DC280" s="5"/>
      <c r="DD280" s="5"/>
      <c r="DE280" s="5"/>
      <c r="DF280" s="5"/>
      <c r="DG280" s="5"/>
      <c r="DH280" s="5"/>
      <c r="DI280" s="5"/>
      <c r="DJ280" s="5"/>
      <c r="DK280" s="5"/>
      <c r="DL280" s="5"/>
      <c r="DM280" s="5"/>
      <c r="DN280" s="5"/>
      <c r="DO280" s="5"/>
      <c r="DP280" s="5"/>
      <c r="DQ280" s="5"/>
      <c r="DR280" s="5"/>
      <c r="DS280" s="5"/>
      <c r="DT280" s="5"/>
      <c r="DU280" s="5"/>
      <c r="DV280" s="5"/>
      <c r="DW280" s="5"/>
      <c r="DX280" s="5"/>
      <c r="DY280" s="5"/>
      <c r="DZ280" s="5"/>
      <c r="EA280" s="5"/>
      <c r="EB280" s="5"/>
      <c r="EC280" s="5"/>
      <c r="ED280" s="5"/>
      <c r="EE280" s="5"/>
      <c r="EF280" s="5"/>
      <c r="EG280" s="5"/>
      <c r="EH280" s="5"/>
      <c r="EI280" s="5"/>
      <c r="EJ280" s="5"/>
      <c r="EK280" s="5"/>
      <c r="EL280" s="5"/>
      <c r="EM280" s="5"/>
      <c r="EN280" s="5"/>
      <c r="EO280" s="5"/>
      <c r="EP280" s="5"/>
      <c r="EQ280" s="5"/>
      <c r="ER280" s="5"/>
      <c r="ES280" s="5"/>
      <c r="ET280" s="5"/>
      <c r="EU280" s="5"/>
      <c r="EV280" s="5"/>
      <c r="EW280" s="5"/>
      <c r="EX280" s="5"/>
      <c r="EY280" s="5"/>
      <c r="EZ280" s="5"/>
      <c r="FA280" s="5"/>
      <c r="FB280" s="5"/>
      <c r="FC280" s="5"/>
      <c r="FD280" s="5"/>
      <c r="FE280" s="5"/>
      <c r="FF280" s="5"/>
      <c r="FG280" s="5"/>
      <c r="FH280" s="5"/>
      <c r="FI280" s="5"/>
      <c r="FJ280" s="5"/>
      <c r="FK280" s="5"/>
      <c r="FL280" s="5"/>
      <c r="FM280" s="5"/>
      <c r="FN280" s="5"/>
      <c r="FO280" s="5"/>
      <c r="FP280" s="5"/>
      <c r="FQ280" s="5"/>
      <c r="FR280" s="5"/>
      <c r="FS280" s="5"/>
      <c r="FT280" s="5"/>
      <c r="FU280" s="5"/>
      <c r="FV280" s="5"/>
      <c r="FW280" s="5"/>
      <c r="FX280" s="5"/>
      <c r="FY280" s="5"/>
      <c r="FZ280" s="5"/>
      <c r="GA280" s="5"/>
      <c r="GB280" s="5"/>
      <c r="GC280" s="5"/>
      <c r="GD280" s="5"/>
      <c r="GE280" s="5"/>
      <c r="GF280" s="5"/>
      <c r="GG280" s="5"/>
      <c r="GH280" s="5"/>
      <c r="GI280" s="5"/>
      <c r="GJ280" s="5"/>
      <c r="GK280" s="5"/>
      <c r="GL280" s="5"/>
      <c r="GM280" s="5"/>
      <c r="GN280" s="5"/>
      <c r="GO280" s="5"/>
      <c r="GP280" s="5"/>
      <c r="GQ280" s="5"/>
      <c r="GR280" s="5"/>
      <c r="GS280" s="5"/>
      <c r="GT280" s="5"/>
      <c r="GU280" s="5"/>
      <c r="GV280" s="5"/>
      <c r="GW280" s="5"/>
      <c r="GX280" s="5"/>
      <c r="GY280" s="5"/>
      <c r="GZ280" s="5"/>
      <c r="HA280" s="5"/>
      <c r="HB280" s="5"/>
      <c r="HC280" s="5"/>
      <c r="HD280" s="5"/>
      <c r="HE280" s="5"/>
      <c r="HF280" s="5"/>
      <c r="HG280" s="5"/>
      <c r="HH280" s="5"/>
      <c r="HI280" s="5"/>
      <c r="HJ280" s="5"/>
      <c r="HK280" s="5"/>
      <c r="HL280" s="5"/>
      <c r="HM280" s="5"/>
      <c r="HN280" s="5"/>
      <c r="HO280" s="5"/>
      <c r="HP280" s="5"/>
      <c r="HQ280" s="5"/>
      <c r="HR280" s="5"/>
      <c r="HS280" s="5"/>
      <c r="HT280" s="5"/>
      <c r="HU280" s="5"/>
      <c r="HV280" s="5"/>
      <c r="HW280" s="5"/>
      <c r="HX280" s="5"/>
      <c r="HY280" s="5"/>
      <c r="HZ280" s="5"/>
      <c r="IA280" s="5"/>
      <c r="IB280" s="5"/>
      <c r="IC280" s="5"/>
      <c r="ID280" s="5"/>
    </row>
    <row r="281" spans="1:239" customHeight="1" ht="13.2"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  <c r="CG281" s="5"/>
      <c r="CH281" s="5"/>
      <c r="CI281" s="5"/>
      <c r="CJ281" s="5"/>
      <c r="CK281" s="5"/>
      <c r="CL281" s="5"/>
      <c r="CM281" s="5"/>
      <c r="CN281" s="5"/>
      <c r="CO281" s="5"/>
      <c r="CP281" s="5"/>
      <c r="CQ281" s="5"/>
      <c r="CR281" s="5"/>
      <c r="CS281" s="5"/>
      <c r="CT281" s="5"/>
      <c r="CU281" s="5"/>
      <c r="CV281" s="5"/>
      <c r="CW281" s="5"/>
      <c r="CX281" s="5"/>
      <c r="CY281" s="5"/>
      <c r="CZ281" s="5"/>
      <c r="DA281" s="5"/>
      <c r="DB281" s="5"/>
      <c r="DC281" s="5"/>
      <c r="DD281" s="5"/>
      <c r="DE281" s="5"/>
      <c r="DF281" s="5"/>
      <c r="DG281" s="5"/>
      <c r="DH281" s="5"/>
      <c r="DI281" s="5"/>
      <c r="DJ281" s="5"/>
      <c r="DK281" s="5"/>
      <c r="DL281" s="5"/>
      <c r="DM281" s="5"/>
      <c r="DN281" s="5"/>
      <c r="DO281" s="5"/>
      <c r="DP281" s="5"/>
      <c r="DQ281" s="5"/>
      <c r="DR281" s="5"/>
      <c r="DS281" s="5"/>
      <c r="DT281" s="5"/>
      <c r="DU281" s="5"/>
      <c r="DV281" s="5"/>
      <c r="DW281" s="5"/>
      <c r="DX281" s="5"/>
      <c r="DY281" s="5"/>
      <c r="DZ281" s="5"/>
      <c r="EA281" s="5"/>
      <c r="EB281" s="5"/>
      <c r="EC281" s="5"/>
      <c r="ED281" s="5"/>
      <c r="EE281" s="5"/>
      <c r="EF281" s="5"/>
      <c r="EG281" s="5"/>
      <c r="EH281" s="5"/>
      <c r="EI281" s="5"/>
      <c r="EJ281" s="5"/>
      <c r="EK281" s="5"/>
      <c r="EL281" s="5"/>
      <c r="EM281" s="5"/>
      <c r="EN281" s="5"/>
      <c r="EO281" s="5"/>
      <c r="EP281" s="5"/>
      <c r="EQ281" s="5"/>
      <c r="ER281" s="5"/>
      <c r="ES281" s="5"/>
      <c r="ET281" s="5"/>
      <c r="EU281" s="5"/>
      <c r="EV281" s="5"/>
      <c r="EW281" s="5"/>
      <c r="EX281" s="5"/>
      <c r="EY281" s="5"/>
      <c r="EZ281" s="5"/>
      <c r="FA281" s="5"/>
      <c r="FB281" s="5"/>
      <c r="FC281" s="5"/>
      <c r="FD281" s="5"/>
      <c r="FE281" s="5"/>
      <c r="FF281" s="5"/>
      <c r="FG281" s="5"/>
      <c r="FH281" s="5"/>
      <c r="FI281" s="5"/>
      <c r="FJ281" s="5"/>
      <c r="FK281" s="5"/>
      <c r="FL281" s="5"/>
      <c r="FM281" s="5"/>
      <c r="FN281" s="5"/>
      <c r="FO281" s="5"/>
      <c r="FP281" s="5"/>
      <c r="FQ281" s="5"/>
      <c r="FR281" s="5"/>
      <c r="FS281" s="5"/>
      <c r="FT281" s="5"/>
      <c r="FU281" s="5"/>
      <c r="FV281" s="5"/>
      <c r="FW281" s="5"/>
      <c r="FX281" s="5"/>
      <c r="FY281" s="5"/>
      <c r="FZ281" s="5"/>
      <c r="GA281" s="5"/>
      <c r="GB281" s="5"/>
      <c r="GC281" s="5"/>
      <c r="GD281" s="5"/>
      <c r="GE281" s="5"/>
      <c r="GF281" s="5"/>
      <c r="GG281" s="5"/>
      <c r="GH281" s="5"/>
      <c r="GI281" s="5"/>
      <c r="GJ281" s="5"/>
      <c r="GK281" s="5"/>
      <c r="GL281" s="5"/>
      <c r="GM281" s="5"/>
      <c r="GN281" s="5"/>
      <c r="GO281" s="5"/>
      <c r="GP281" s="5"/>
      <c r="GQ281" s="5"/>
      <c r="GR281" s="5"/>
      <c r="GS281" s="5"/>
      <c r="GT281" s="5"/>
      <c r="GU281" s="5"/>
      <c r="GV281" s="5"/>
      <c r="GW281" s="5"/>
      <c r="GX281" s="5"/>
      <c r="GY281" s="5"/>
      <c r="GZ281" s="5"/>
      <c r="HA281" s="5"/>
      <c r="HB281" s="5"/>
      <c r="HC281" s="5"/>
      <c r="HD281" s="5"/>
      <c r="HE281" s="5"/>
      <c r="HF281" s="5"/>
      <c r="HG281" s="5"/>
      <c r="HH281" s="5"/>
      <c r="HI281" s="5"/>
      <c r="HJ281" s="5"/>
      <c r="HK281" s="5"/>
      <c r="HL281" s="5"/>
      <c r="HM281" s="5"/>
      <c r="HN281" s="5"/>
      <c r="HO281" s="5"/>
      <c r="HP281" s="5"/>
      <c r="HQ281" s="5"/>
      <c r="HR281" s="5"/>
      <c r="HS281" s="5"/>
      <c r="HT281" s="5"/>
      <c r="HU281" s="5"/>
      <c r="HV281" s="5"/>
      <c r="HW281" s="5"/>
      <c r="HX281" s="5"/>
      <c r="HY281" s="5"/>
      <c r="HZ281" s="5"/>
      <c r="IA281" s="5"/>
      <c r="IB281" s="5"/>
      <c r="IC281" s="5"/>
      <c r="ID281" s="5"/>
    </row>
    <row r="282" spans="1:239" customHeight="1" ht="13.2"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  <c r="CG282" s="5"/>
      <c r="CH282" s="5"/>
      <c r="CI282" s="5"/>
      <c r="CJ282" s="5"/>
      <c r="CK282" s="5"/>
      <c r="CL282" s="5"/>
      <c r="CM282" s="5"/>
      <c r="CN282" s="5"/>
      <c r="CO282" s="5"/>
      <c r="CP282" s="5"/>
      <c r="CQ282" s="5"/>
      <c r="CR282" s="5"/>
      <c r="CS282" s="5"/>
      <c r="CT282" s="5"/>
      <c r="CU282" s="5"/>
      <c r="CV282" s="5"/>
      <c r="CW282" s="5"/>
      <c r="CX282" s="5"/>
      <c r="CY282" s="5"/>
      <c r="CZ282" s="5"/>
      <c r="DA282" s="5"/>
      <c r="DB282" s="5"/>
      <c r="DC282" s="5"/>
      <c r="DD282" s="5"/>
      <c r="DE282" s="5"/>
      <c r="DF282" s="5"/>
      <c r="DG282" s="5"/>
      <c r="DH282" s="5"/>
      <c r="DI282" s="5"/>
      <c r="DJ282" s="5"/>
      <c r="DK282" s="5"/>
      <c r="DL282" s="5"/>
      <c r="DM282" s="5"/>
      <c r="DN282" s="5"/>
      <c r="DO282" s="5"/>
      <c r="DP282" s="5"/>
      <c r="DQ282" s="5"/>
      <c r="DR282" s="5"/>
      <c r="DS282" s="5"/>
      <c r="DT282" s="5"/>
      <c r="DU282" s="5"/>
      <c r="DV282" s="5"/>
      <c r="DW282" s="5"/>
      <c r="DX282" s="5"/>
      <c r="DY282" s="5"/>
      <c r="DZ282" s="5"/>
      <c r="EA282" s="5"/>
      <c r="EB282" s="5"/>
      <c r="EC282" s="5"/>
      <c r="ED282" s="5"/>
      <c r="EE282" s="5"/>
      <c r="EF282" s="5"/>
      <c r="EG282" s="5"/>
      <c r="EH282" s="5"/>
      <c r="EI282" s="5"/>
      <c r="EJ282" s="5"/>
      <c r="EK282" s="5"/>
      <c r="EL282" s="5"/>
      <c r="EM282" s="5"/>
      <c r="EN282" s="5"/>
      <c r="EO282" s="5"/>
      <c r="EP282" s="5"/>
      <c r="EQ282" s="5"/>
      <c r="ER282" s="5"/>
      <c r="ES282" s="5"/>
      <c r="ET282" s="5"/>
      <c r="EU282" s="5"/>
      <c r="EV282" s="5"/>
      <c r="EW282" s="5"/>
      <c r="EX282" s="5"/>
      <c r="EY282" s="5"/>
      <c r="EZ282" s="5"/>
      <c r="FA282" s="5"/>
      <c r="FB282" s="5"/>
      <c r="FC282" s="5"/>
      <c r="FD282" s="5"/>
      <c r="FE282" s="5"/>
      <c r="FF282" s="5"/>
      <c r="FG282" s="5"/>
      <c r="FH282" s="5"/>
      <c r="FI282" s="5"/>
      <c r="FJ282" s="5"/>
      <c r="FK282" s="5"/>
      <c r="FL282" s="5"/>
      <c r="FM282" s="5"/>
      <c r="FN282" s="5"/>
      <c r="FO282" s="5"/>
      <c r="FP282" s="5"/>
      <c r="FQ282" s="5"/>
      <c r="FR282" s="5"/>
      <c r="FS282" s="5"/>
      <c r="FT282" s="5"/>
      <c r="FU282" s="5"/>
      <c r="FV282" s="5"/>
      <c r="FW282" s="5"/>
      <c r="FX282" s="5"/>
      <c r="FY282" s="5"/>
      <c r="FZ282" s="5"/>
      <c r="GA282" s="5"/>
      <c r="GB282" s="5"/>
      <c r="GC282" s="5"/>
      <c r="GD282" s="5"/>
      <c r="GE282" s="5"/>
      <c r="GF282" s="5"/>
      <c r="GG282" s="5"/>
      <c r="GH282" s="5"/>
      <c r="GI282" s="5"/>
      <c r="GJ282" s="5"/>
      <c r="GK282" s="5"/>
      <c r="GL282" s="5"/>
      <c r="GM282" s="5"/>
      <c r="GN282" s="5"/>
      <c r="GO282" s="5"/>
      <c r="GP282" s="5"/>
      <c r="GQ282" s="5"/>
      <c r="GR282" s="5"/>
      <c r="GS282" s="5"/>
      <c r="GT282" s="5"/>
      <c r="GU282" s="5"/>
      <c r="GV282" s="5"/>
      <c r="GW282" s="5"/>
      <c r="GX282" s="5"/>
      <c r="GY282" s="5"/>
      <c r="GZ282" s="5"/>
      <c r="HA282" s="5"/>
      <c r="HB282" s="5"/>
      <c r="HC282" s="5"/>
      <c r="HD282" s="5"/>
      <c r="HE282" s="5"/>
      <c r="HF282" s="5"/>
      <c r="HG282" s="5"/>
      <c r="HH282" s="5"/>
      <c r="HI282" s="5"/>
      <c r="HJ282" s="5"/>
      <c r="HK282" s="5"/>
      <c r="HL282" s="5"/>
      <c r="HM282" s="5"/>
      <c r="HN282" s="5"/>
      <c r="HO282" s="5"/>
      <c r="HP282" s="5"/>
      <c r="HQ282" s="5"/>
      <c r="HR282" s="5"/>
      <c r="HS282" s="5"/>
      <c r="HT282" s="5"/>
      <c r="HU282" s="5"/>
      <c r="HV282" s="5"/>
      <c r="HW282" s="5"/>
      <c r="HX282" s="5"/>
      <c r="HY282" s="5"/>
      <c r="HZ282" s="5"/>
      <c r="IA282" s="5"/>
      <c r="IB282" s="5"/>
      <c r="IC282" s="5"/>
      <c r="ID282" s="5"/>
    </row>
    <row r="283" spans="1:239" customHeight="1" ht="13.2"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5"/>
      <c r="CV283" s="5"/>
      <c r="CW283" s="5"/>
      <c r="CX283" s="5"/>
      <c r="CY283" s="5"/>
      <c r="CZ283" s="5"/>
      <c r="DA283" s="5"/>
      <c r="DB283" s="5"/>
      <c r="DC283" s="5"/>
      <c r="DD283" s="5"/>
      <c r="DE283" s="5"/>
      <c r="DF283" s="5"/>
      <c r="DG283" s="5"/>
      <c r="DH283" s="5"/>
      <c r="DI283" s="5"/>
      <c r="DJ283" s="5"/>
      <c r="DK283" s="5"/>
      <c r="DL283" s="5"/>
      <c r="DM283" s="5"/>
      <c r="DN283" s="5"/>
      <c r="DO283" s="5"/>
      <c r="DP283" s="5"/>
      <c r="DQ283" s="5"/>
      <c r="DR283" s="5"/>
      <c r="DS283" s="5"/>
      <c r="DT283" s="5"/>
      <c r="DU283" s="5"/>
      <c r="DV283" s="5"/>
      <c r="DW283" s="5"/>
      <c r="DX283" s="5"/>
      <c r="DY283" s="5"/>
      <c r="DZ283" s="5"/>
      <c r="EA283" s="5"/>
      <c r="EB283" s="5"/>
      <c r="EC283" s="5"/>
      <c r="ED283" s="5"/>
      <c r="EE283" s="5"/>
      <c r="EF283" s="5"/>
      <c r="EG283" s="5"/>
      <c r="EH283" s="5"/>
      <c r="EI283" s="5"/>
      <c r="EJ283" s="5"/>
      <c r="EK283" s="5"/>
      <c r="EL283" s="5"/>
      <c r="EM283" s="5"/>
      <c r="EN283" s="5"/>
      <c r="EO283" s="5"/>
      <c r="EP283" s="5"/>
      <c r="EQ283" s="5"/>
      <c r="ER283" s="5"/>
      <c r="ES283" s="5"/>
      <c r="ET283" s="5"/>
      <c r="EU283" s="5"/>
      <c r="EV283" s="5"/>
      <c r="EW283" s="5"/>
      <c r="EX283" s="5"/>
      <c r="EY283" s="5"/>
      <c r="EZ283" s="5"/>
      <c r="FA283" s="5"/>
      <c r="FB283" s="5"/>
      <c r="FC283" s="5"/>
      <c r="FD283" s="5"/>
      <c r="FE283" s="5"/>
      <c r="FF283" s="5"/>
      <c r="FG283" s="5"/>
      <c r="FH283" s="5"/>
      <c r="FI283" s="5"/>
      <c r="FJ283" s="5"/>
      <c r="FK283" s="5"/>
      <c r="FL283" s="5"/>
      <c r="FM283" s="5"/>
      <c r="FN283" s="5"/>
      <c r="FO283" s="5"/>
      <c r="FP283" s="5"/>
      <c r="FQ283" s="5"/>
      <c r="FR283" s="5"/>
      <c r="FS283" s="5"/>
      <c r="FT283" s="5"/>
      <c r="FU283" s="5"/>
      <c r="FV283" s="5"/>
      <c r="FW283" s="5"/>
      <c r="FX283" s="5"/>
      <c r="FY283" s="5"/>
      <c r="FZ283" s="5"/>
      <c r="GA283" s="5"/>
      <c r="GB283" s="5"/>
      <c r="GC283" s="5"/>
      <c r="GD283" s="5"/>
      <c r="GE283" s="5"/>
      <c r="GF283" s="5"/>
      <c r="GG283" s="5"/>
      <c r="GH283" s="5"/>
      <c r="GI283" s="5"/>
      <c r="GJ283" s="5"/>
      <c r="GK283" s="5"/>
      <c r="GL283" s="5"/>
      <c r="GM283" s="5"/>
      <c r="GN283" s="5"/>
      <c r="GO283" s="5"/>
      <c r="GP283" s="5"/>
      <c r="GQ283" s="5"/>
      <c r="GR283" s="5"/>
      <c r="GS283" s="5"/>
      <c r="GT283" s="5"/>
      <c r="GU283" s="5"/>
      <c r="GV283" s="5"/>
      <c r="GW283" s="5"/>
      <c r="GX283" s="5"/>
      <c r="GY283" s="5"/>
      <c r="GZ283" s="5"/>
      <c r="HA283" s="5"/>
      <c r="HB283" s="5"/>
      <c r="HC283" s="5"/>
      <c r="HD283" s="5"/>
      <c r="HE283" s="5"/>
      <c r="HF283" s="5"/>
      <c r="HG283" s="5"/>
      <c r="HH283" s="5"/>
      <c r="HI283" s="5"/>
      <c r="HJ283" s="5"/>
      <c r="HK283" s="5"/>
      <c r="HL283" s="5"/>
      <c r="HM283" s="5"/>
      <c r="HN283" s="5"/>
      <c r="HO283" s="5"/>
      <c r="HP283" s="5"/>
      <c r="HQ283" s="5"/>
      <c r="HR283" s="5"/>
      <c r="HS283" s="5"/>
      <c r="HT283" s="5"/>
      <c r="HU283" s="5"/>
      <c r="HV283" s="5"/>
      <c r="HW283" s="5"/>
      <c r="HX283" s="5"/>
      <c r="HY283" s="5"/>
      <c r="HZ283" s="5"/>
      <c r="IA283" s="5"/>
      <c r="IB283" s="5"/>
      <c r="IC283" s="5"/>
      <c r="ID283" s="5"/>
    </row>
    <row r="284" spans="1:239" customHeight="1" ht="13.2"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  <c r="CG284" s="5"/>
      <c r="CH284" s="5"/>
      <c r="CI284" s="5"/>
      <c r="CJ284" s="5"/>
      <c r="CK284" s="5"/>
      <c r="CL284" s="5"/>
      <c r="CM284" s="5"/>
      <c r="CN284" s="5"/>
      <c r="CO284" s="5"/>
      <c r="CP284" s="5"/>
      <c r="CQ284" s="5"/>
      <c r="CR284" s="5"/>
      <c r="CS284" s="5"/>
      <c r="CT284" s="5"/>
      <c r="CU284" s="5"/>
      <c r="CV284" s="5"/>
      <c r="CW284" s="5"/>
      <c r="CX284" s="5"/>
      <c r="CY284" s="5"/>
      <c r="CZ284" s="5"/>
      <c r="DA284" s="5"/>
      <c r="DB284" s="5"/>
      <c r="DC284" s="5"/>
      <c r="DD284" s="5"/>
      <c r="DE284" s="5"/>
      <c r="DF284" s="5"/>
      <c r="DG284" s="5"/>
      <c r="DH284" s="5"/>
      <c r="DI284" s="5"/>
      <c r="DJ284" s="5"/>
      <c r="DK284" s="5"/>
      <c r="DL284" s="5"/>
      <c r="DM284" s="5"/>
      <c r="DN284" s="5"/>
      <c r="DO284" s="5"/>
      <c r="DP284" s="5"/>
      <c r="DQ284" s="5"/>
      <c r="DR284" s="5"/>
      <c r="DS284" s="5"/>
      <c r="DT284" s="5"/>
      <c r="DU284" s="5"/>
      <c r="DV284" s="5"/>
      <c r="DW284" s="5"/>
      <c r="DX284" s="5"/>
      <c r="DY284" s="5"/>
      <c r="DZ284" s="5"/>
      <c r="EA284" s="5"/>
      <c r="EB284" s="5"/>
      <c r="EC284" s="5"/>
      <c r="ED284" s="5"/>
      <c r="EE284" s="5"/>
      <c r="EF284" s="5"/>
      <c r="EG284" s="5"/>
      <c r="EH284" s="5"/>
      <c r="EI284" s="5"/>
      <c r="EJ284" s="5"/>
      <c r="EK284" s="5"/>
      <c r="EL284" s="5"/>
      <c r="EM284" s="5"/>
      <c r="EN284" s="5"/>
      <c r="EO284" s="5"/>
      <c r="EP284" s="5"/>
      <c r="EQ284" s="5"/>
      <c r="ER284" s="5"/>
      <c r="ES284" s="5"/>
      <c r="ET284" s="5"/>
      <c r="EU284" s="5"/>
      <c r="EV284" s="5"/>
      <c r="EW284" s="5"/>
      <c r="EX284" s="5"/>
      <c r="EY284" s="5"/>
      <c r="EZ284" s="5"/>
      <c r="FA284" s="5"/>
      <c r="FB284" s="5"/>
      <c r="FC284" s="5"/>
      <c r="FD284" s="5"/>
      <c r="FE284" s="5"/>
      <c r="FF284" s="5"/>
      <c r="FG284" s="5"/>
      <c r="FH284" s="5"/>
      <c r="FI284" s="5"/>
      <c r="FJ284" s="5"/>
      <c r="FK284" s="5"/>
      <c r="FL284" s="5"/>
      <c r="FM284" s="5"/>
      <c r="FN284" s="5"/>
      <c r="FO284" s="5"/>
      <c r="FP284" s="5"/>
      <c r="FQ284" s="5"/>
      <c r="FR284" s="5"/>
      <c r="FS284" s="5"/>
      <c r="FT284" s="5"/>
      <c r="FU284" s="5"/>
      <c r="FV284" s="5"/>
      <c r="FW284" s="5"/>
      <c r="FX284" s="5"/>
      <c r="FY284" s="5"/>
      <c r="FZ284" s="5"/>
      <c r="GA284" s="5"/>
      <c r="GB284" s="5"/>
      <c r="GC284" s="5"/>
      <c r="GD284" s="5"/>
      <c r="GE284" s="5"/>
      <c r="GF284" s="5"/>
      <c r="GG284" s="5"/>
      <c r="GH284" s="5"/>
      <c r="GI284" s="5"/>
      <c r="GJ284" s="5"/>
      <c r="GK284" s="5"/>
      <c r="GL284" s="5"/>
      <c r="GM284" s="5"/>
      <c r="GN284" s="5"/>
      <c r="GO284" s="5"/>
      <c r="GP284" s="5"/>
      <c r="GQ284" s="5"/>
      <c r="GR284" s="5"/>
      <c r="GS284" s="5"/>
      <c r="GT284" s="5"/>
      <c r="GU284" s="5"/>
      <c r="GV284" s="5"/>
      <c r="GW284" s="5"/>
      <c r="GX284" s="5"/>
      <c r="GY284" s="5"/>
      <c r="GZ284" s="5"/>
      <c r="HA284" s="5"/>
      <c r="HB284" s="5"/>
      <c r="HC284" s="5"/>
      <c r="HD284" s="5"/>
      <c r="HE284" s="5"/>
      <c r="HF284" s="5"/>
      <c r="HG284" s="5"/>
      <c r="HH284" s="5"/>
      <c r="HI284" s="5"/>
      <c r="HJ284" s="5"/>
      <c r="HK284" s="5"/>
      <c r="HL284" s="5"/>
      <c r="HM284" s="5"/>
      <c r="HN284" s="5"/>
      <c r="HO284" s="5"/>
      <c r="HP284" s="5"/>
      <c r="HQ284" s="5"/>
      <c r="HR284" s="5"/>
      <c r="HS284" s="5"/>
      <c r="HT284" s="5"/>
      <c r="HU284" s="5"/>
      <c r="HV284" s="5"/>
      <c r="HW284" s="5"/>
      <c r="HX284" s="5"/>
      <c r="HY284" s="5"/>
      <c r="HZ284" s="5"/>
      <c r="IA284" s="5"/>
      <c r="IB284" s="5"/>
      <c r="IC284" s="5"/>
      <c r="ID284" s="5"/>
    </row>
    <row r="285" spans="1:239" customHeight="1" ht="13.2"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  <c r="CG285" s="5"/>
      <c r="CH285" s="5"/>
      <c r="CI285" s="5"/>
      <c r="CJ285" s="5"/>
      <c r="CK285" s="5"/>
      <c r="CL285" s="5"/>
      <c r="CM285" s="5"/>
      <c r="CN285" s="5"/>
      <c r="CO285" s="5"/>
      <c r="CP285" s="5"/>
      <c r="CQ285" s="5"/>
      <c r="CR285" s="5"/>
      <c r="CS285" s="5"/>
      <c r="CT285" s="5"/>
      <c r="CU285" s="5"/>
      <c r="CV285" s="5"/>
      <c r="CW285" s="5"/>
      <c r="CX285" s="5"/>
      <c r="CY285" s="5"/>
      <c r="CZ285" s="5"/>
      <c r="DA285" s="5"/>
      <c r="DB285" s="5"/>
      <c r="DC285" s="5"/>
      <c r="DD285" s="5"/>
      <c r="DE285" s="5"/>
      <c r="DF285" s="5"/>
      <c r="DG285" s="5"/>
      <c r="DH285" s="5"/>
      <c r="DI285" s="5"/>
      <c r="DJ285" s="5"/>
      <c r="DK285" s="5"/>
      <c r="DL285" s="5"/>
      <c r="DM285" s="5"/>
      <c r="DN285" s="5"/>
      <c r="DO285" s="5"/>
      <c r="DP285" s="5"/>
      <c r="DQ285" s="5"/>
      <c r="DR285" s="5"/>
      <c r="DS285" s="5"/>
      <c r="DT285" s="5"/>
      <c r="DU285" s="5"/>
      <c r="DV285" s="5"/>
      <c r="DW285" s="5"/>
      <c r="DX285" s="5"/>
      <c r="DY285" s="5"/>
      <c r="DZ285" s="5"/>
      <c r="EA285" s="5"/>
      <c r="EB285" s="5"/>
      <c r="EC285" s="5"/>
      <c r="ED285" s="5"/>
      <c r="EE285" s="5"/>
      <c r="EF285" s="5"/>
      <c r="EG285" s="5"/>
      <c r="EH285" s="5"/>
      <c r="EI285" s="5"/>
      <c r="EJ285" s="5"/>
      <c r="EK285" s="5"/>
      <c r="EL285" s="5"/>
      <c r="EM285" s="5"/>
      <c r="EN285" s="5"/>
      <c r="EO285" s="5"/>
      <c r="EP285" s="5"/>
      <c r="EQ285" s="5"/>
      <c r="ER285" s="5"/>
      <c r="ES285" s="5"/>
      <c r="ET285" s="5"/>
      <c r="EU285" s="5"/>
      <c r="EV285" s="5"/>
      <c r="EW285" s="5"/>
      <c r="EX285" s="5"/>
      <c r="EY285" s="5"/>
      <c r="EZ285" s="5"/>
      <c r="FA285" s="5"/>
      <c r="FB285" s="5"/>
      <c r="FC285" s="5"/>
      <c r="FD285" s="5"/>
      <c r="FE285" s="5"/>
      <c r="FF285" s="5"/>
      <c r="FG285" s="5"/>
      <c r="FH285" s="5"/>
      <c r="FI285" s="5"/>
      <c r="FJ285" s="5"/>
      <c r="FK285" s="5"/>
      <c r="FL285" s="5"/>
      <c r="FM285" s="5"/>
      <c r="FN285" s="5"/>
      <c r="FO285" s="5"/>
      <c r="FP285" s="5"/>
      <c r="FQ285" s="5"/>
      <c r="FR285" s="5"/>
      <c r="FS285" s="5"/>
      <c r="FT285" s="5"/>
      <c r="FU285" s="5"/>
      <c r="FV285" s="5"/>
      <c r="FW285" s="5"/>
      <c r="FX285" s="5"/>
      <c r="FY285" s="5"/>
      <c r="FZ285" s="5"/>
      <c r="GA285" s="5"/>
      <c r="GB285" s="5"/>
      <c r="GC285" s="5"/>
      <c r="GD285" s="5"/>
      <c r="GE285" s="5"/>
      <c r="GF285" s="5"/>
      <c r="GG285" s="5"/>
      <c r="GH285" s="5"/>
      <c r="GI285" s="5"/>
      <c r="GJ285" s="5"/>
      <c r="GK285" s="5"/>
      <c r="GL285" s="5"/>
      <c r="GM285" s="5"/>
      <c r="GN285" s="5"/>
      <c r="GO285" s="5"/>
      <c r="GP285" s="5"/>
      <c r="GQ285" s="5"/>
      <c r="GR285" s="5"/>
      <c r="GS285" s="5"/>
      <c r="GT285" s="5"/>
      <c r="GU285" s="5"/>
      <c r="GV285" s="5"/>
      <c r="GW285" s="5"/>
      <c r="GX285" s="5"/>
      <c r="GY285" s="5"/>
      <c r="GZ285" s="5"/>
      <c r="HA285" s="5"/>
      <c r="HB285" s="5"/>
      <c r="HC285" s="5"/>
      <c r="HD285" s="5"/>
      <c r="HE285" s="5"/>
      <c r="HF285" s="5"/>
      <c r="HG285" s="5"/>
      <c r="HH285" s="5"/>
      <c r="HI285" s="5"/>
      <c r="HJ285" s="5"/>
      <c r="HK285" s="5"/>
      <c r="HL285" s="5"/>
      <c r="HM285" s="5"/>
      <c r="HN285" s="5"/>
      <c r="HO285" s="5"/>
      <c r="HP285" s="5"/>
      <c r="HQ285" s="5"/>
      <c r="HR285" s="5"/>
      <c r="HS285" s="5"/>
      <c r="HT285" s="5"/>
      <c r="HU285" s="5"/>
      <c r="HV285" s="5"/>
      <c r="HW285" s="5"/>
      <c r="HX285" s="5"/>
      <c r="HY285" s="5"/>
      <c r="HZ285" s="5"/>
      <c r="IA285" s="5"/>
      <c r="IB285" s="5"/>
      <c r="IC285" s="5"/>
      <c r="ID285" s="5"/>
    </row>
    <row r="286" spans="1:239" customHeight="1" ht="13.2"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  <c r="CG286" s="5"/>
      <c r="CH286" s="5"/>
      <c r="CI286" s="5"/>
      <c r="CJ286" s="5"/>
      <c r="CK286" s="5"/>
      <c r="CL286" s="5"/>
      <c r="CM286" s="5"/>
      <c r="CN286" s="5"/>
      <c r="CO286" s="5"/>
      <c r="CP286" s="5"/>
      <c r="CQ286" s="5"/>
      <c r="CR286" s="5"/>
      <c r="CS286" s="5"/>
      <c r="CT286" s="5"/>
      <c r="CU286" s="5"/>
      <c r="CV286" s="5"/>
      <c r="CW286" s="5"/>
      <c r="CX286" s="5"/>
      <c r="CY286" s="5"/>
      <c r="CZ286" s="5"/>
      <c r="DA286" s="5"/>
      <c r="DB286" s="5"/>
      <c r="DC286" s="5"/>
      <c r="DD286" s="5"/>
      <c r="DE286" s="5"/>
      <c r="DF286" s="5"/>
      <c r="DG286" s="5"/>
      <c r="DH286" s="5"/>
      <c r="DI286" s="5"/>
      <c r="DJ286" s="5"/>
      <c r="DK286" s="5"/>
      <c r="DL286" s="5"/>
      <c r="DM286" s="5"/>
      <c r="DN286" s="5"/>
      <c r="DO286" s="5"/>
      <c r="DP286" s="5"/>
      <c r="DQ286" s="5"/>
      <c r="DR286" s="5"/>
      <c r="DS286" s="5"/>
      <c r="DT286" s="5"/>
      <c r="DU286" s="5"/>
      <c r="DV286" s="5"/>
      <c r="DW286" s="5"/>
      <c r="DX286" s="5"/>
      <c r="DY286" s="5"/>
      <c r="DZ286" s="5"/>
      <c r="EA286" s="5"/>
      <c r="EB286" s="5"/>
      <c r="EC286" s="5"/>
      <c r="ED286" s="5"/>
      <c r="EE286" s="5"/>
      <c r="EF286" s="5"/>
      <c r="EG286" s="5"/>
      <c r="EH286" s="5"/>
      <c r="EI286" s="5"/>
      <c r="EJ286" s="5"/>
      <c r="EK286" s="5"/>
      <c r="EL286" s="5"/>
      <c r="EM286" s="5"/>
      <c r="EN286" s="5"/>
      <c r="EO286" s="5"/>
      <c r="EP286" s="5"/>
      <c r="EQ286" s="5"/>
      <c r="ER286" s="5"/>
      <c r="ES286" s="5"/>
      <c r="ET286" s="5"/>
      <c r="EU286" s="5"/>
      <c r="EV286" s="5"/>
      <c r="EW286" s="5"/>
      <c r="EX286" s="5"/>
      <c r="EY286" s="5"/>
      <c r="EZ286" s="5"/>
      <c r="FA286" s="5"/>
      <c r="FB286" s="5"/>
      <c r="FC286" s="5"/>
      <c r="FD286" s="5"/>
      <c r="FE286" s="5"/>
      <c r="FF286" s="5"/>
      <c r="FG286" s="5"/>
      <c r="FH286" s="5"/>
      <c r="FI286" s="5"/>
      <c r="FJ286" s="5"/>
      <c r="FK286" s="5"/>
      <c r="FL286" s="5"/>
      <c r="FM286" s="5"/>
      <c r="FN286" s="5"/>
      <c r="FO286" s="5"/>
      <c r="FP286" s="5"/>
      <c r="FQ286" s="5"/>
      <c r="FR286" s="5"/>
      <c r="FS286" s="5"/>
      <c r="FT286" s="5"/>
      <c r="FU286" s="5"/>
      <c r="FV286" s="5"/>
      <c r="FW286" s="5"/>
      <c r="FX286" s="5"/>
      <c r="FY286" s="5"/>
      <c r="FZ286" s="5"/>
      <c r="GA286" s="5"/>
      <c r="GB286" s="5"/>
      <c r="GC286" s="5"/>
      <c r="GD286" s="5"/>
      <c r="GE286" s="5"/>
      <c r="GF286" s="5"/>
      <c r="GG286" s="5"/>
      <c r="GH286" s="5"/>
      <c r="GI286" s="5"/>
      <c r="GJ286" s="5"/>
      <c r="GK286" s="5"/>
      <c r="GL286" s="5"/>
      <c r="GM286" s="5"/>
      <c r="GN286" s="5"/>
      <c r="GO286" s="5"/>
      <c r="GP286" s="5"/>
      <c r="GQ286" s="5"/>
      <c r="GR286" s="5"/>
      <c r="GS286" s="5"/>
      <c r="GT286" s="5"/>
      <c r="GU286" s="5"/>
      <c r="GV286" s="5"/>
      <c r="GW286" s="5"/>
      <c r="GX286" s="5"/>
      <c r="GY286" s="5"/>
      <c r="GZ286" s="5"/>
      <c r="HA286" s="5"/>
      <c r="HB286" s="5"/>
      <c r="HC286" s="5"/>
      <c r="HD286" s="5"/>
      <c r="HE286" s="5"/>
      <c r="HF286" s="5"/>
      <c r="HG286" s="5"/>
      <c r="HH286" s="5"/>
      <c r="HI286" s="5"/>
      <c r="HJ286" s="5"/>
      <c r="HK286" s="5"/>
      <c r="HL286" s="5"/>
      <c r="HM286" s="5"/>
      <c r="HN286" s="5"/>
      <c r="HO286" s="5"/>
      <c r="HP286" s="5"/>
      <c r="HQ286" s="5"/>
      <c r="HR286" s="5"/>
      <c r="HS286" s="5"/>
      <c r="HT286" s="5"/>
      <c r="HU286" s="5"/>
      <c r="HV286" s="5"/>
      <c r="HW286" s="5"/>
      <c r="HX286" s="5"/>
      <c r="HY286" s="5"/>
      <c r="HZ286" s="5"/>
      <c r="IA286" s="5"/>
      <c r="IB286" s="5"/>
      <c r="IC286" s="5"/>
      <c r="ID286" s="5"/>
    </row>
    <row r="287" spans="1:239" customHeight="1" ht="13.2"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  <c r="CG287" s="5"/>
      <c r="CH287" s="5"/>
      <c r="CI287" s="5"/>
      <c r="CJ287" s="5"/>
      <c r="CK287" s="5"/>
      <c r="CL287" s="5"/>
      <c r="CM287" s="5"/>
      <c r="CN287" s="5"/>
      <c r="CO287" s="5"/>
      <c r="CP287" s="5"/>
      <c r="CQ287" s="5"/>
      <c r="CR287" s="5"/>
      <c r="CS287" s="5"/>
      <c r="CT287" s="5"/>
      <c r="CU287" s="5"/>
      <c r="CV287" s="5"/>
      <c r="CW287" s="5"/>
      <c r="CX287" s="5"/>
      <c r="CY287" s="5"/>
      <c r="CZ287" s="5"/>
      <c r="DA287" s="5"/>
      <c r="DB287" s="5"/>
      <c r="DC287" s="5"/>
      <c r="DD287" s="5"/>
      <c r="DE287" s="5"/>
      <c r="DF287" s="5"/>
      <c r="DG287" s="5"/>
      <c r="DH287" s="5"/>
      <c r="DI287" s="5"/>
      <c r="DJ287" s="5"/>
      <c r="DK287" s="5"/>
      <c r="DL287" s="5"/>
      <c r="DM287" s="5"/>
      <c r="DN287" s="5"/>
      <c r="DO287" s="5"/>
      <c r="DP287" s="5"/>
      <c r="DQ287" s="5"/>
      <c r="DR287" s="5"/>
      <c r="DS287" s="5"/>
      <c r="DT287" s="5"/>
      <c r="DU287" s="5"/>
      <c r="DV287" s="5"/>
      <c r="DW287" s="5"/>
      <c r="DX287" s="5"/>
      <c r="DY287" s="5"/>
      <c r="DZ287" s="5"/>
      <c r="EA287" s="5"/>
      <c r="EB287" s="5"/>
      <c r="EC287" s="5"/>
      <c r="ED287" s="5"/>
      <c r="EE287" s="5"/>
      <c r="EF287" s="5"/>
      <c r="EG287" s="5"/>
      <c r="EH287" s="5"/>
      <c r="EI287" s="5"/>
      <c r="EJ287" s="5"/>
      <c r="EK287" s="5"/>
      <c r="EL287" s="5"/>
      <c r="EM287" s="5"/>
      <c r="EN287" s="5"/>
      <c r="EO287" s="5"/>
      <c r="EP287" s="5"/>
      <c r="EQ287" s="5"/>
      <c r="ER287" s="5"/>
      <c r="ES287" s="5"/>
      <c r="ET287" s="5"/>
      <c r="EU287" s="5"/>
      <c r="EV287" s="5"/>
      <c r="EW287" s="5"/>
      <c r="EX287" s="5"/>
      <c r="EY287" s="5"/>
      <c r="EZ287" s="5"/>
      <c r="FA287" s="5"/>
      <c r="FB287" s="5"/>
      <c r="FC287" s="5"/>
      <c r="FD287" s="5"/>
      <c r="FE287" s="5"/>
      <c r="FF287" s="5"/>
      <c r="FG287" s="5"/>
      <c r="FH287" s="5"/>
      <c r="FI287" s="5"/>
      <c r="FJ287" s="5"/>
      <c r="FK287" s="5"/>
      <c r="FL287" s="5"/>
      <c r="FM287" s="5"/>
      <c r="FN287" s="5"/>
      <c r="FO287" s="5"/>
      <c r="FP287" s="5"/>
      <c r="FQ287" s="5"/>
      <c r="FR287" s="5"/>
      <c r="FS287" s="5"/>
      <c r="FT287" s="5"/>
      <c r="FU287" s="5"/>
      <c r="FV287" s="5"/>
      <c r="FW287" s="5"/>
      <c r="FX287" s="5"/>
      <c r="FY287" s="5"/>
      <c r="FZ287" s="5"/>
      <c r="GA287" s="5"/>
      <c r="GB287" s="5"/>
      <c r="GC287" s="5"/>
      <c r="GD287" s="5"/>
      <c r="GE287" s="5"/>
      <c r="GF287" s="5"/>
      <c r="GG287" s="5"/>
      <c r="GH287" s="5"/>
      <c r="GI287" s="5"/>
      <c r="GJ287" s="5"/>
      <c r="GK287" s="5"/>
      <c r="GL287" s="5"/>
      <c r="GM287" s="5"/>
      <c r="GN287" s="5"/>
      <c r="GO287" s="5"/>
      <c r="GP287" s="5"/>
      <c r="GQ287" s="5"/>
      <c r="GR287" s="5"/>
      <c r="GS287" s="5"/>
      <c r="GT287" s="5"/>
      <c r="GU287" s="5"/>
      <c r="GV287" s="5"/>
      <c r="GW287" s="5"/>
      <c r="GX287" s="5"/>
      <c r="GY287" s="5"/>
      <c r="GZ287" s="5"/>
      <c r="HA287" s="5"/>
      <c r="HB287" s="5"/>
      <c r="HC287" s="5"/>
      <c r="HD287" s="5"/>
      <c r="HE287" s="5"/>
      <c r="HF287" s="5"/>
      <c r="HG287" s="5"/>
      <c r="HH287" s="5"/>
      <c r="HI287" s="5"/>
      <c r="HJ287" s="5"/>
      <c r="HK287" s="5"/>
      <c r="HL287" s="5"/>
      <c r="HM287" s="5"/>
      <c r="HN287" s="5"/>
      <c r="HO287" s="5"/>
      <c r="HP287" s="5"/>
      <c r="HQ287" s="5"/>
      <c r="HR287" s="5"/>
      <c r="HS287" s="5"/>
      <c r="HT287" s="5"/>
      <c r="HU287" s="5"/>
      <c r="HV287" s="5"/>
      <c r="HW287" s="5"/>
      <c r="HX287" s="5"/>
      <c r="HY287" s="5"/>
      <c r="HZ287" s="5"/>
      <c r="IA287" s="5"/>
      <c r="IB287" s="5"/>
      <c r="IC287" s="5"/>
      <c r="ID287" s="5"/>
    </row>
    <row r="288" spans="1:239" customHeight="1" ht="13.2"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  <c r="CG288" s="5"/>
      <c r="CH288" s="5"/>
      <c r="CI288" s="5"/>
      <c r="CJ288" s="5"/>
      <c r="CK288" s="5"/>
      <c r="CL288" s="5"/>
      <c r="CM288" s="5"/>
      <c r="CN288" s="5"/>
      <c r="CO288" s="5"/>
      <c r="CP288" s="5"/>
      <c r="CQ288" s="5"/>
      <c r="CR288" s="5"/>
      <c r="CS288" s="5"/>
      <c r="CT288" s="5"/>
      <c r="CU288" s="5"/>
      <c r="CV288" s="5"/>
      <c r="CW288" s="5"/>
      <c r="CX288" s="5"/>
      <c r="CY288" s="5"/>
      <c r="CZ288" s="5"/>
      <c r="DA288" s="5"/>
      <c r="DB288" s="5"/>
      <c r="DC288" s="5"/>
      <c r="DD288" s="5"/>
      <c r="DE288" s="5"/>
      <c r="DF288" s="5"/>
      <c r="DG288" s="5"/>
      <c r="DH288" s="5"/>
      <c r="DI288" s="5"/>
      <c r="DJ288" s="5"/>
      <c r="DK288" s="5"/>
      <c r="DL288" s="5"/>
      <c r="DM288" s="5"/>
      <c r="DN288" s="5"/>
      <c r="DO288" s="5"/>
      <c r="DP288" s="5"/>
      <c r="DQ288" s="5"/>
      <c r="DR288" s="5"/>
      <c r="DS288" s="5"/>
      <c r="DT288" s="5"/>
      <c r="DU288" s="5"/>
      <c r="DV288" s="5"/>
      <c r="DW288" s="5"/>
      <c r="DX288" s="5"/>
      <c r="DY288" s="5"/>
      <c r="DZ288" s="5"/>
      <c r="EA288" s="5"/>
      <c r="EB288" s="5"/>
      <c r="EC288" s="5"/>
      <c r="ED288" s="5"/>
      <c r="EE288" s="5"/>
      <c r="EF288" s="5"/>
      <c r="EG288" s="5"/>
      <c r="EH288" s="5"/>
      <c r="EI288" s="5"/>
      <c r="EJ288" s="5"/>
      <c r="EK288" s="5"/>
      <c r="EL288" s="5"/>
      <c r="EM288" s="5"/>
      <c r="EN288" s="5"/>
      <c r="EO288" s="5"/>
      <c r="EP288" s="5"/>
      <c r="EQ288" s="5"/>
      <c r="ER288" s="5"/>
      <c r="ES288" s="5"/>
      <c r="ET288" s="5"/>
      <c r="EU288" s="5"/>
      <c r="EV288" s="5"/>
      <c r="EW288" s="5"/>
      <c r="EX288" s="5"/>
      <c r="EY288" s="5"/>
      <c r="EZ288" s="5"/>
      <c r="FA288" s="5"/>
      <c r="FB288" s="5"/>
      <c r="FC288" s="5"/>
      <c r="FD288" s="5"/>
      <c r="FE288" s="5"/>
      <c r="FF288" s="5"/>
      <c r="FG288" s="5"/>
      <c r="FH288" s="5"/>
      <c r="FI288" s="5"/>
      <c r="FJ288" s="5"/>
      <c r="FK288" s="5"/>
      <c r="FL288" s="5"/>
      <c r="FM288" s="5"/>
      <c r="FN288" s="5"/>
      <c r="FO288" s="5"/>
      <c r="FP288" s="5"/>
      <c r="FQ288" s="5"/>
      <c r="FR288" s="5"/>
      <c r="FS288" s="5"/>
      <c r="FT288" s="5"/>
      <c r="FU288" s="5"/>
      <c r="FV288" s="5"/>
      <c r="FW288" s="5"/>
      <c r="FX288" s="5"/>
      <c r="FY288" s="5"/>
      <c r="FZ288" s="5"/>
      <c r="GA288" s="5"/>
      <c r="GB288" s="5"/>
      <c r="GC288" s="5"/>
      <c r="GD288" s="5"/>
      <c r="GE288" s="5"/>
      <c r="GF288" s="5"/>
      <c r="GG288" s="5"/>
      <c r="GH288" s="5"/>
      <c r="GI288" s="5"/>
      <c r="GJ288" s="5"/>
      <c r="GK288" s="5"/>
      <c r="GL288" s="5"/>
      <c r="GM288" s="5"/>
      <c r="GN288" s="5"/>
      <c r="GO288" s="5"/>
      <c r="GP288" s="5"/>
      <c r="GQ288" s="5"/>
      <c r="GR288" s="5"/>
      <c r="GS288" s="5"/>
      <c r="GT288" s="5"/>
      <c r="GU288" s="5"/>
      <c r="GV288" s="5"/>
      <c r="GW288" s="5"/>
      <c r="GX288" s="5"/>
      <c r="GY288" s="5"/>
      <c r="GZ288" s="5"/>
      <c r="HA288" s="5"/>
      <c r="HB288" s="5"/>
      <c r="HC288" s="5"/>
      <c r="HD288" s="5"/>
      <c r="HE288" s="5"/>
      <c r="HF288" s="5"/>
      <c r="HG288" s="5"/>
      <c r="HH288" s="5"/>
      <c r="HI288" s="5"/>
      <c r="HJ288" s="5"/>
      <c r="HK288" s="5"/>
      <c r="HL288" s="5"/>
      <c r="HM288" s="5"/>
      <c r="HN288" s="5"/>
      <c r="HO288" s="5"/>
      <c r="HP288" s="5"/>
      <c r="HQ288" s="5"/>
      <c r="HR288" s="5"/>
      <c r="HS288" s="5"/>
      <c r="HT288" s="5"/>
      <c r="HU288" s="5"/>
      <c r="HV288" s="5"/>
      <c r="HW288" s="5"/>
      <c r="HX288" s="5"/>
      <c r="HY288" s="5"/>
      <c r="HZ288" s="5"/>
      <c r="IA288" s="5"/>
      <c r="IB288" s="5"/>
      <c r="IC288" s="5"/>
      <c r="ID288" s="5"/>
    </row>
    <row r="289" spans="1:239" customHeight="1" ht="13.2"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  <c r="CG289" s="5"/>
      <c r="CH289" s="5"/>
      <c r="CI289" s="5"/>
      <c r="CJ289" s="5"/>
      <c r="CK289" s="5"/>
      <c r="CL289" s="5"/>
      <c r="CM289" s="5"/>
      <c r="CN289" s="5"/>
      <c r="CO289" s="5"/>
      <c r="CP289" s="5"/>
      <c r="CQ289" s="5"/>
      <c r="CR289" s="5"/>
      <c r="CS289" s="5"/>
      <c r="CT289" s="5"/>
      <c r="CU289" s="5"/>
      <c r="CV289" s="5"/>
      <c r="CW289" s="5"/>
      <c r="CX289" s="5"/>
      <c r="CY289" s="5"/>
      <c r="CZ289" s="5"/>
      <c r="DA289" s="5"/>
      <c r="DB289" s="5"/>
      <c r="DC289" s="5"/>
      <c r="DD289" s="5"/>
      <c r="DE289" s="5"/>
      <c r="DF289" s="5"/>
      <c r="DG289" s="5"/>
      <c r="DH289" s="5"/>
      <c r="DI289" s="5"/>
      <c r="DJ289" s="5"/>
      <c r="DK289" s="5"/>
      <c r="DL289" s="5"/>
      <c r="DM289" s="5"/>
      <c r="DN289" s="5"/>
      <c r="DO289" s="5"/>
      <c r="DP289" s="5"/>
      <c r="DQ289" s="5"/>
      <c r="DR289" s="5"/>
      <c r="DS289" s="5"/>
      <c r="DT289" s="5"/>
      <c r="DU289" s="5"/>
      <c r="DV289" s="5"/>
      <c r="DW289" s="5"/>
      <c r="DX289" s="5"/>
      <c r="DY289" s="5"/>
      <c r="DZ289" s="5"/>
      <c r="EA289" s="5"/>
      <c r="EB289" s="5"/>
      <c r="EC289" s="5"/>
      <c r="ED289" s="5"/>
      <c r="EE289" s="5"/>
      <c r="EF289" s="5"/>
      <c r="EG289" s="5"/>
      <c r="EH289" s="5"/>
      <c r="EI289" s="5"/>
      <c r="EJ289" s="5"/>
      <c r="EK289" s="5"/>
      <c r="EL289" s="5"/>
      <c r="EM289" s="5"/>
      <c r="EN289" s="5"/>
      <c r="EO289" s="5"/>
      <c r="EP289" s="5"/>
      <c r="EQ289" s="5"/>
      <c r="ER289" s="5"/>
      <c r="ES289" s="5"/>
      <c r="ET289" s="5"/>
      <c r="EU289" s="5"/>
      <c r="EV289" s="5"/>
      <c r="EW289" s="5"/>
      <c r="EX289" s="5"/>
      <c r="EY289" s="5"/>
      <c r="EZ289" s="5"/>
      <c r="FA289" s="5"/>
      <c r="FB289" s="5"/>
      <c r="FC289" s="5"/>
      <c r="FD289" s="5"/>
      <c r="FE289" s="5"/>
      <c r="FF289" s="5"/>
      <c r="FG289" s="5"/>
      <c r="FH289" s="5"/>
      <c r="FI289" s="5"/>
      <c r="FJ289" s="5"/>
      <c r="FK289" s="5"/>
      <c r="FL289" s="5"/>
      <c r="FM289" s="5"/>
      <c r="FN289" s="5"/>
      <c r="FO289" s="5"/>
      <c r="FP289" s="5"/>
      <c r="FQ289" s="5"/>
      <c r="FR289" s="5"/>
      <c r="FS289" s="5"/>
      <c r="FT289" s="5"/>
      <c r="FU289" s="5"/>
      <c r="FV289" s="5"/>
      <c r="FW289" s="5"/>
      <c r="FX289" s="5"/>
      <c r="FY289" s="5"/>
      <c r="FZ289" s="5"/>
      <c r="GA289" s="5"/>
      <c r="GB289" s="5"/>
      <c r="GC289" s="5"/>
      <c r="GD289" s="5"/>
      <c r="GE289" s="5"/>
      <c r="GF289" s="5"/>
      <c r="GG289" s="5"/>
      <c r="GH289" s="5"/>
      <c r="GI289" s="5"/>
      <c r="GJ289" s="5"/>
      <c r="GK289" s="5"/>
      <c r="GL289" s="5"/>
      <c r="GM289" s="5"/>
      <c r="GN289" s="5"/>
      <c r="GO289" s="5"/>
      <c r="GP289" s="5"/>
      <c r="GQ289" s="5"/>
      <c r="GR289" s="5"/>
      <c r="GS289" s="5"/>
      <c r="GT289" s="5"/>
      <c r="GU289" s="5"/>
      <c r="GV289" s="5"/>
      <c r="GW289" s="5"/>
      <c r="GX289" s="5"/>
      <c r="GY289" s="5"/>
      <c r="GZ289" s="5"/>
      <c r="HA289" s="5"/>
      <c r="HB289" s="5"/>
      <c r="HC289" s="5"/>
      <c r="HD289" s="5"/>
      <c r="HE289" s="5"/>
      <c r="HF289" s="5"/>
      <c r="HG289" s="5"/>
      <c r="HH289" s="5"/>
      <c r="HI289" s="5"/>
      <c r="HJ289" s="5"/>
      <c r="HK289" s="5"/>
      <c r="HL289" s="5"/>
      <c r="HM289" s="5"/>
      <c r="HN289" s="5"/>
      <c r="HO289" s="5"/>
      <c r="HP289" s="5"/>
      <c r="HQ289" s="5"/>
      <c r="HR289" s="5"/>
      <c r="HS289" s="5"/>
      <c r="HT289" s="5"/>
      <c r="HU289" s="5"/>
      <c r="HV289" s="5"/>
      <c r="HW289" s="5"/>
      <c r="HX289" s="5"/>
      <c r="HY289" s="5"/>
      <c r="HZ289" s="5"/>
      <c r="IA289" s="5"/>
      <c r="IB289" s="5"/>
      <c r="IC289" s="5"/>
      <c r="ID289" s="5"/>
    </row>
    <row r="290" spans="1:239" customHeight="1" ht="13.2"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  <c r="CG290" s="5"/>
      <c r="CH290" s="5"/>
      <c r="CI290" s="5"/>
      <c r="CJ290" s="5"/>
      <c r="CK290" s="5"/>
      <c r="CL290" s="5"/>
      <c r="CM290" s="5"/>
      <c r="CN290" s="5"/>
      <c r="CO290" s="5"/>
      <c r="CP290" s="5"/>
      <c r="CQ290" s="5"/>
      <c r="CR290" s="5"/>
      <c r="CS290" s="5"/>
      <c r="CT290" s="5"/>
      <c r="CU290" s="5"/>
      <c r="CV290" s="5"/>
      <c r="CW290" s="5"/>
      <c r="CX290" s="5"/>
      <c r="CY290" s="5"/>
      <c r="CZ290" s="5"/>
      <c r="DA290" s="5"/>
      <c r="DB290" s="5"/>
      <c r="DC290" s="5"/>
      <c r="DD290" s="5"/>
      <c r="DE290" s="5"/>
      <c r="DF290" s="5"/>
      <c r="DG290" s="5"/>
      <c r="DH290" s="5"/>
      <c r="DI290" s="5"/>
      <c r="DJ290" s="5"/>
      <c r="DK290" s="5"/>
      <c r="DL290" s="5"/>
      <c r="DM290" s="5"/>
      <c r="DN290" s="5"/>
      <c r="DO290" s="5"/>
      <c r="DP290" s="5"/>
      <c r="DQ290" s="5"/>
      <c r="DR290" s="5"/>
      <c r="DS290" s="5"/>
      <c r="DT290" s="5"/>
      <c r="DU290" s="5"/>
      <c r="DV290" s="5"/>
      <c r="DW290" s="5"/>
      <c r="DX290" s="5"/>
      <c r="DY290" s="5"/>
      <c r="DZ290" s="5"/>
      <c r="EA290" s="5"/>
      <c r="EB290" s="5"/>
      <c r="EC290" s="5"/>
      <c r="ED290" s="5"/>
      <c r="EE290" s="5"/>
      <c r="EF290" s="5"/>
      <c r="EG290" s="5"/>
      <c r="EH290" s="5"/>
      <c r="EI290" s="5"/>
      <c r="EJ290" s="5"/>
      <c r="EK290" s="5"/>
      <c r="EL290" s="5"/>
      <c r="EM290" s="5"/>
      <c r="EN290" s="5"/>
      <c r="EO290" s="5"/>
      <c r="EP290" s="5"/>
      <c r="EQ290" s="5"/>
      <c r="ER290" s="5"/>
      <c r="ES290" s="5"/>
      <c r="ET290" s="5"/>
      <c r="EU290" s="5"/>
      <c r="EV290" s="5"/>
      <c r="EW290" s="5"/>
      <c r="EX290" s="5"/>
      <c r="EY290" s="5"/>
      <c r="EZ290" s="5"/>
      <c r="FA290" s="5"/>
      <c r="FB290" s="5"/>
      <c r="FC290" s="5"/>
      <c r="FD290" s="5"/>
      <c r="FE290" s="5"/>
      <c r="FF290" s="5"/>
      <c r="FG290" s="5"/>
      <c r="FH290" s="5"/>
      <c r="FI290" s="5"/>
      <c r="FJ290" s="5"/>
      <c r="FK290" s="5"/>
      <c r="FL290" s="5"/>
      <c r="FM290" s="5"/>
      <c r="FN290" s="5"/>
      <c r="FO290" s="5"/>
      <c r="FP290" s="5"/>
      <c r="FQ290" s="5"/>
      <c r="FR290" s="5"/>
      <c r="FS290" s="5"/>
      <c r="FT290" s="5"/>
      <c r="FU290" s="5"/>
      <c r="FV290" s="5"/>
      <c r="FW290" s="5"/>
      <c r="FX290" s="5"/>
      <c r="FY290" s="5"/>
      <c r="FZ290" s="5"/>
      <c r="GA290" s="5"/>
      <c r="GB290" s="5"/>
      <c r="GC290" s="5"/>
      <c r="GD290" s="5"/>
      <c r="GE290" s="5"/>
      <c r="GF290" s="5"/>
      <c r="GG290" s="5"/>
      <c r="GH290" s="5"/>
      <c r="GI290" s="5"/>
      <c r="GJ290" s="5"/>
      <c r="GK290" s="5"/>
      <c r="GL290" s="5"/>
      <c r="GM290" s="5"/>
      <c r="GN290" s="5"/>
      <c r="GO290" s="5"/>
      <c r="GP290" s="5"/>
      <c r="GQ290" s="5"/>
      <c r="GR290" s="5"/>
      <c r="GS290" s="5"/>
      <c r="GT290" s="5"/>
      <c r="GU290" s="5"/>
      <c r="GV290" s="5"/>
      <c r="GW290" s="5"/>
      <c r="GX290" s="5"/>
      <c r="GY290" s="5"/>
      <c r="GZ290" s="5"/>
      <c r="HA290" s="5"/>
      <c r="HB290" s="5"/>
      <c r="HC290" s="5"/>
      <c r="HD290" s="5"/>
      <c r="HE290" s="5"/>
      <c r="HF290" s="5"/>
      <c r="HG290" s="5"/>
      <c r="HH290" s="5"/>
      <c r="HI290" s="5"/>
      <c r="HJ290" s="5"/>
      <c r="HK290" s="5"/>
      <c r="HL290" s="5"/>
      <c r="HM290" s="5"/>
      <c r="HN290" s="5"/>
      <c r="HO290" s="5"/>
      <c r="HP290" s="5"/>
      <c r="HQ290" s="5"/>
      <c r="HR290" s="5"/>
      <c r="HS290" s="5"/>
      <c r="HT290" s="5"/>
      <c r="HU290" s="5"/>
      <c r="HV290" s="5"/>
      <c r="HW290" s="5"/>
      <c r="HX290" s="5"/>
      <c r="HY290" s="5"/>
      <c r="HZ290" s="5"/>
      <c r="IA290" s="5"/>
      <c r="IB290" s="5"/>
      <c r="IC290" s="5"/>
      <c r="ID290" s="5"/>
    </row>
    <row r="291" spans="1:239" customHeight="1" ht="13.2"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  <c r="CO291" s="5"/>
      <c r="CP291" s="5"/>
      <c r="CQ291" s="5"/>
      <c r="CR291" s="5"/>
      <c r="CS291" s="5"/>
      <c r="CT291" s="5"/>
      <c r="CU291" s="5"/>
      <c r="CV291" s="5"/>
      <c r="CW291" s="5"/>
      <c r="CX291" s="5"/>
      <c r="CY291" s="5"/>
      <c r="CZ291" s="5"/>
      <c r="DA291" s="5"/>
      <c r="DB291" s="5"/>
      <c r="DC291" s="5"/>
      <c r="DD291" s="5"/>
      <c r="DE291" s="5"/>
      <c r="DF291" s="5"/>
      <c r="DG291" s="5"/>
      <c r="DH291" s="5"/>
      <c r="DI291" s="5"/>
      <c r="DJ291" s="5"/>
      <c r="DK291" s="5"/>
      <c r="DL291" s="5"/>
      <c r="DM291" s="5"/>
      <c r="DN291" s="5"/>
      <c r="DO291" s="5"/>
      <c r="DP291" s="5"/>
      <c r="DQ291" s="5"/>
      <c r="DR291" s="5"/>
      <c r="DS291" s="5"/>
      <c r="DT291" s="5"/>
      <c r="DU291" s="5"/>
      <c r="DV291" s="5"/>
      <c r="DW291" s="5"/>
      <c r="DX291" s="5"/>
      <c r="DY291" s="5"/>
      <c r="DZ291" s="5"/>
      <c r="EA291" s="5"/>
      <c r="EB291" s="5"/>
      <c r="EC291" s="5"/>
      <c r="ED291" s="5"/>
      <c r="EE291" s="5"/>
      <c r="EF291" s="5"/>
      <c r="EG291" s="5"/>
      <c r="EH291" s="5"/>
      <c r="EI291" s="5"/>
      <c r="EJ291" s="5"/>
      <c r="EK291" s="5"/>
      <c r="EL291" s="5"/>
      <c r="EM291" s="5"/>
      <c r="EN291" s="5"/>
      <c r="EO291" s="5"/>
      <c r="EP291" s="5"/>
      <c r="EQ291" s="5"/>
      <c r="ER291" s="5"/>
      <c r="ES291" s="5"/>
      <c r="ET291" s="5"/>
      <c r="EU291" s="5"/>
      <c r="EV291" s="5"/>
      <c r="EW291" s="5"/>
      <c r="EX291" s="5"/>
      <c r="EY291" s="5"/>
      <c r="EZ291" s="5"/>
      <c r="FA291" s="5"/>
      <c r="FB291" s="5"/>
      <c r="FC291" s="5"/>
      <c r="FD291" s="5"/>
      <c r="FE291" s="5"/>
      <c r="FF291" s="5"/>
      <c r="FG291" s="5"/>
      <c r="FH291" s="5"/>
      <c r="FI291" s="5"/>
      <c r="FJ291" s="5"/>
      <c r="FK291" s="5"/>
      <c r="FL291" s="5"/>
      <c r="FM291" s="5"/>
      <c r="FN291" s="5"/>
      <c r="FO291" s="5"/>
      <c r="FP291" s="5"/>
      <c r="FQ291" s="5"/>
      <c r="FR291" s="5"/>
      <c r="FS291" s="5"/>
      <c r="FT291" s="5"/>
      <c r="FU291" s="5"/>
      <c r="FV291" s="5"/>
      <c r="FW291" s="5"/>
      <c r="FX291" s="5"/>
      <c r="FY291" s="5"/>
      <c r="FZ291" s="5"/>
      <c r="GA291" s="5"/>
      <c r="GB291" s="5"/>
      <c r="GC291" s="5"/>
      <c r="GD291" s="5"/>
      <c r="GE291" s="5"/>
      <c r="GF291" s="5"/>
      <c r="GG291" s="5"/>
      <c r="GH291" s="5"/>
      <c r="GI291" s="5"/>
      <c r="GJ291" s="5"/>
      <c r="GK291" s="5"/>
      <c r="GL291" s="5"/>
      <c r="GM291" s="5"/>
      <c r="GN291" s="5"/>
      <c r="GO291" s="5"/>
      <c r="GP291" s="5"/>
      <c r="GQ291" s="5"/>
      <c r="GR291" s="5"/>
      <c r="GS291" s="5"/>
      <c r="GT291" s="5"/>
      <c r="GU291" s="5"/>
      <c r="GV291" s="5"/>
      <c r="GW291" s="5"/>
      <c r="GX291" s="5"/>
      <c r="GY291" s="5"/>
      <c r="GZ291" s="5"/>
      <c r="HA291" s="5"/>
      <c r="HB291" s="5"/>
      <c r="HC291" s="5"/>
      <c r="HD291" s="5"/>
      <c r="HE291" s="5"/>
      <c r="HF291" s="5"/>
      <c r="HG291" s="5"/>
      <c r="HH291" s="5"/>
      <c r="HI291" s="5"/>
      <c r="HJ291" s="5"/>
      <c r="HK291" s="5"/>
      <c r="HL291" s="5"/>
      <c r="HM291" s="5"/>
      <c r="HN291" s="5"/>
      <c r="HO291" s="5"/>
      <c r="HP291" s="5"/>
      <c r="HQ291" s="5"/>
      <c r="HR291" s="5"/>
      <c r="HS291" s="5"/>
      <c r="HT291" s="5"/>
      <c r="HU291" s="5"/>
      <c r="HV291" s="5"/>
      <c r="HW291" s="5"/>
      <c r="HX291" s="5"/>
      <c r="HY291" s="5"/>
      <c r="HZ291" s="5"/>
      <c r="IA291" s="5"/>
      <c r="IB291" s="5"/>
      <c r="IC291" s="5"/>
      <c r="ID291" s="5"/>
    </row>
    <row r="292" spans="1:239" customHeight="1" ht="13.2"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  <c r="CG292" s="5"/>
      <c r="CH292" s="5"/>
      <c r="CI292" s="5"/>
      <c r="CJ292" s="5"/>
      <c r="CK292" s="5"/>
      <c r="CL292" s="5"/>
      <c r="CM292" s="5"/>
      <c r="CN292" s="5"/>
      <c r="CO292" s="5"/>
      <c r="CP292" s="5"/>
      <c r="CQ292" s="5"/>
      <c r="CR292" s="5"/>
      <c r="CS292" s="5"/>
      <c r="CT292" s="5"/>
      <c r="CU292" s="5"/>
      <c r="CV292" s="5"/>
      <c r="CW292" s="5"/>
      <c r="CX292" s="5"/>
      <c r="CY292" s="5"/>
      <c r="CZ292" s="5"/>
      <c r="DA292" s="5"/>
      <c r="DB292" s="5"/>
      <c r="DC292" s="5"/>
      <c r="DD292" s="5"/>
      <c r="DE292" s="5"/>
      <c r="DF292" s="5"/>
      <c r="DG292" s="5"/>
      <c r="DH292" s="5"/>
      <c r="DI292" s="5"/>
      <c r="DJ292" s="5"/>
      <c r="DK292" s="5"/>
      <c r="DL292" s="5"/>
      <c r="DM292" s="5"/>
      <c r="DN292" s="5"/>
      <c r="DO292" s="5"/>
      <c r="DP292" s="5"/>
      <c r="DQ292" s="5"/>
      <c r="DR292" s="5"/>
      <c r="DS292" s="5"/>
      <c r="DT292" s="5"/>
      <c r="DU292" s="5"/>
      <c r="DV292" s="5"/>
      <c r="DW292" s="5"/>
      <c r="DX292" s="5"/>
      <c r="DY292" s="5"/>
      <c r="DZ292" s="5"/>
      <c r="EA292" s="5"/>
      <c r="EB292" s="5"/>
      <c r="EC292" s="5"/>
      <c r="ED292" s="5"/>
      <c r="EE292" s="5"/>
      <c r="EF292" s="5"/>
      <c r="EG292" s="5"/>
      <c r="EH292" s="5"/>
      <c r="EI292" s="5"/>
      <c r="EJ292" s="5"/>
      <c r="EK292" s="5"/>
      <c r="EL292" s="5"/>
      <c r="EM292" s="5"/>
      <c r="EN292" s="5"/>
      <c r="EO292" s="5"/>
      <c r="EP292" s="5"/>
      <c r="EQ292" s="5"/>
      <c r="ER292" s="5"/>
      <c r="ES292" s="5"/>
      <c r="ET292" s="5"/>
      <c r="EU292" s="5"/>
      <c r="EV292" s="5"/>
      <c r="EW292" s="5"/>
      <c r="EX292" s="5"/>
      <c r="EY292" s="5"/>
      <c r="EZ292" s="5"/>
      <c r="FA292" s="5"/>
      <c r="FB292" s="5"/>
      <c r="FC292" s="5"/>
      <c r="FD292" s="5"/>
      <c r="FE292" s="5"/>
      <c r="FF292" s="5"/>
      <c r="FG292" s="5"/>
      <c r="FH292" s="5"/>
      <c r="FI292" s="5"/>
      <c r="FJ292" s="5"/>
      <c r="FK292" s="5"/>
      <c r="FL292" s="5"/>
      <c r="FM292" s="5"/>
      <c r="FN292" s="5"/>
      <c r="FO292" s="5"/>
      <c r="FP292" s="5"/>
      <c r="FQ292" s="5"/>
      <c r="FR292" s="5"/>
      <c r="FS292" s="5"/>
      <c r="FT292" s="5"/>
      <c r="FU292" s="5"/>
      <c r="FV292" s="5"/>
      <c r="FW292" s="5"/>
      <c r="FX292" s="5"/>
      <c r="FY292" s="5"/>
      <c r="FZ292" s="5"/>
      <c r="GA292" s="5"/>
      <c r="GB292" s="5"/>
      <c r="GC292" s="5"/>
      <c r="GD292" s="5"/>
      <c r="GE292" s="5"/>
      <c r="GF292" s="5"/>
      <c r="GG292" s="5"/>
      <c r="GH292" s="5"/>
      <c r="GI292" s="5"/>
      <c r="GJ292" s="5"/>
      <c r="GK292" s="5"/>
      <c r="GL292" s="5"/>
      <c r="GM292" s="5"/>
      <c r="GN292" s="5"/>
      <c r="GO292" s="5"/>
      <c r="GP292" s="5"/>
      <c r="GQ292" s="5"/>
      <c r="GR292" s="5"/>
      <c r="GS292" s="5"/>
      <c r="GT292" s="5"/>
      <c r="GU292" s="5"/>
      <c r="GV292" s="5"/>
      <c r="GW292" s="5"/>
      <c r="GX292" s="5"/>
      <c r="GY292" s="5"/>
      <c r="GZ292" s="5"/>
      <c r="HA292" s="5"/>
      <c r="HB292" s="5"/>
      <c r="HC292" s="5"/>
      <c r="HD292" s="5"/>
      <c r="HE292" s="5"/>
      <c r="HF292" s="5"/>
      <c r="HG292" s="5"/>
      <c r="HH292" s="5"/>
      <c r="HI292" s="5"/>
      <c r="HJ292" s="5"/>
      <c r="HK292" s="5"/>
      <c r="HL292" s="5"/>
      <c r="HM292" s="5"/>
      <c r="HN292" s="5"/>
      <c r="HO292" s="5"/>
      <c r="HP292" s="5"/>
      <c r="HQ292" s="5"/>
      <c r="HR292" s="5"/>
      <c r="HS292" s="5"/>
      <c r="HT292" s="5"/>
      <c r="HU292" s="5"/>
      <c r="HV292" s="5"/>
      <c r="HW292" s="5"/>
      <c r="HX292" s="5"/>
      <c r="HY292" s="5"/>
      <c r="HZ292" s="5"/>
      <c r="IA292" s="5"/>
      <c r="IB292" s="5"/>
      <c r="IC292" s="5"/>
      <c r="ID292" s="5"/>
    </row>
    <row r="293" spans="1:239" customHeight="1" ht="13.2"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  <c r="CF293" s="5"/>
      <c r="CG293" s="5"/>
      <c r="CH293" s="5"/>
      <c r="CI293" s="5"/>
      <c r="CJ293" s="5"/>
      <c r="CK293" s="5"/>
      <c r="CL293" s="5"/>
      <c r="CM293" s="5"/>
      <c r="CN293" s="5"/>
      <c r="CO293" s="5"/>
      <c r="CP293" s="5"/>
      <c r="CQ293" s="5"/>
      <c r="CR293" s="5"/>
      <c r="CS293" s="5"/>
      <c r="CT293" s="5"/>
      <c r="CU293" s="5"/>
      <c r="CV293" s="5"/>
      <c r="CW293" s="5"/>
      <c r="CX293" s="5"/>
      <c r="CY293" s="5"/>
      <c r="CZ293" s="5"/>
      <c r="DA293" s="5"/>
      <c r="DB293" s="5"/>
      <c r="DC293" s="5"/>
      <c r="DD293" s="5"/>
      <c r="DE293" s="5"/>
      <c r="DF293" s="5"/>
      <c r="DG293" s="5"/>
      <c r="DH293" s="5"/>
      <c r="DI293" s="5"/>
      <c r="DJ293" s="5"/>
      <c r="DK293" s="5"/>
      <c r="DL293" s="5"/>
      <c r="DM293" s="5"/>
      <c r="DN293" s="5"/>
      <c r="DO293" s="5"/>
      <c r="DP293" s="5"/>
      <c r="DQ293" s="5"/>
      <c r="DR293" s="5"/>
      <c r="DS293" s="5"/>
      <c r="DT293" s="5"/>
      <c r="DU293" s="5"/>
      <c r="DV293" s="5"/>
      <c r="DW293" s="5"/>
      <c r="DX293" s="5"/>
      <c r="DY293" s="5"/>
      <c r="DZ293" s="5"/>
      <c r="EA293" s="5"/>
      <c r="EB293" s="5"/>
      <c r="EC293" s="5"/>
      <c r="ED293" s="5"/>
      <c r="EE293" s="5"/>
      <c r="EF293" s="5"/>
      <c r="EG293" s="5"/>
      <c r="EH293" s="5"/>
      <c r="EI293" s="5"/>
      <c r="EJ293" s="5"/>
      <c r="EK293" s="5"/>
      <c r="EL293" s="5"/>
      <c r="EM293" s="5"/>
      <c r="EN293" s="5"/>
      <c r="EO293" s="5"/>
      <c r="EP293" s="5"/>
      <c r="EQ293" s="5"/>
      <c r="ER293" s="5"/>
      <c r="ES293" s="5"/>
      <c r="ET293" s="5"/>
      <c r="EU293" s="5"/>
      <c r="EV293" s="5"/>
      <c r="EW293" s="5"/>
      <c r="EX293" s="5"/>
      <c r="EY293" s="5"/>
      <c r="EZ293" s="5"/>
      <c r="FA293" s="5"/>
      <c r="FB293" s="5"/>
      <c r="FC293" s="5"/>
      <c r="FD293" s="5"/>
      <c r="FE293" s="5"/>
      <c r="FF293" s="5"/>
      <c r="FG293" s="5"/>
      <c r="FH293" s="5"/>
      <c r="FI293" s="5"/>
      <c r="FJ293" s="5"/>
      <c r="FK293" s="5"/>
      <c r="FL293" s="5"/>
      <c r="FM293" s="5"/>
      <c r="FN293" s="5"/>
      <c r="FO293" s="5"/>
      <c r="FP293" s="5"/>
      <c r="FQ293" s="5"/>
      <c r="FR293" s="5"/>
      <c r="FS293" s="5"/>
      <c r="FT293" s="5"/>
      <c r="FU293" s="5"/>
      <c r="FV293" s="5"/>
      <c r="FW293" s="5"/>
      <c r="FX293" s="5"/>
      <c r="FY293" s="5"/>
      <c r="FZ293" s="5"/>
      <c r="GA293" s="5"/>
      <c r="GB293" s="5"/>
      <c r="GC293" s="5"/>
      <c r="GD293" s="5"/>
      <c r="GE293" s="5"/>
      <c r="GF293" s="5"/>
      <c r="GG293" s="5"/>
      <c r="GH293" s="5"/>
      <c r="GI293" s="5"/>
      <c r="GJ293" s="5"/>
      <c r="GK293" s="5"/>
      <c r="GL293" s="5"/>
      <c r="GM293" s="5"/>
      <c r="GN293" s="5"/>
      <c r="GO293" s="5"/>
      <c r="GP293" s="5"/>
      <c r="GQ293" s="5"/>
      <c r="GR293" s="5"/>
      <c r="GS293" s="5"/>
      <c r="GT293" s="5"/>
      <c r="GU293" s="5"/>
      <c r="GV293" s="5"/>
      <c r="GW293" s="5"/>
      <c r="GX293" s="5"/>
      <c r="GY293" s="5"/>
      <c r="GZ293" s="5"/>
      <c r="HA293" s="5"/>
      <c r="HB293" s="5"/>
      <c r="HC293" s="5"/>
      <c r="HD293" s="5"/>
      <c r="HE293" s="5"/>
      <c r="HF293" s="5"/>
      <c r="HG293" s="5"/>
      <c r="HH293" s="5"/>
      <c r="HI293" s="5"/>
      <c r="HJ293" s="5"/>
      <c r="HK293" s="5"/>
      <c r="HL293" s="5"/>
      <c r="HM293" s="5"/>
      <c r="HN293" s="5"/>
      <c r="HO293" s="5"/>
      <c r="HP293" s="5"/>
      <c r="HQ293" s="5"/>
      <c r="HR293" s="5"/>
      <c r="HS293" s="5"/>
      <c r="HT293" s="5"/>
      <c r="HU293" s="5"/>
      <c r="HV293" s="5"/>
      <c r="HW293" s="5"/>
      <c r="HX293" s="5"/>
      <c r="HY293" s="5"/>
      <c r="HZ293" s="5"/>
      <c r="IA293" s="5"/>
      <c r="IB293" s="5"/>
      <c r="IC293" s="5"/>
      <c r="ID293" s="5"/>
    </row>
    <row r="294" spans="1:239" customHeight="1" ht="13.2"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  <c r="CG294" s="5"/>
      <c r="CH294" s="5"/>
      <c r="CI294" s="5"/>
      <c r="CJ294" s="5"/>
      <c r="CK294" s="5"/>
      <c r="CL294" s="5"/>
      <c r="CM294" s="5"/>
      <c r="CN294" s="5"/>
      <c r="CO294" s="5"/>
      <c r="CP294" s="5"/>
      <c r="CQ294" s="5"/>
      <c r="CR294" s="5"/>
      <c r="CS294" s="5"/>
      <c r="CT294" s="5"/>
      <c r="CU294" s="5"/>
      <c r="CV294" s="5"/>
      <c r="CW294" s="5"/>
      <c r="CX294" s="5"/>
      <c r="CY294" s="5"/>
      <c r="CZ294" s="5"/>
      <c r="DA294" s="5"/>
      <c r="DB294" s="5"/>
      <c r="DC294" s="5"/>
      <c r="DD294" s="5"/>
      <c r="DE294" s="5"/>
      <c r="DF294" s="5"/>
      <c r="DG294" s="5"/>
      <c r="DH294" s="5"/>
      <c r="DI294" s="5"/>
      <c r="DJ294" s="5"/>
      <c r="DK294" s="5"/>
      <c r="DL294" s="5"/>
      <c r="DM294" s="5"/>
      <c r="DN294" s="5"/>
      <c r="DO294" s="5"/>
      <c r="DP294" s="5"/>
      <c r="DQ294" s="5"/>
      <c r="DR294" s="5"/>
      <c r="DS294" s="5"/>
      <c r="DT294" s="5"/>
      <c r="DU294" s="5"/>
      <c r="DV294" s="5"/>
      <c r="DW294" s="5"/>
      <c r="DX294" s="5"/>
      <c r="DY294" s="5"/>
      <c r="DZ294" s="5"/>
      <c r="EA294" s="5"/>
      <c r="EB294" s="5"/>
      <c r="EC294" s="5"/>
      <c r="ED294" s="5"/>
      <c r="EE294" s="5"/>
      <c r="EF294" s="5"/>
      <c r="EG294" s="5"/>
      <c r="EH294" s="5"/>
      <c r="EI294" s="5"/>
      <c r="EJ294" s="5"/>
      <c r="EK294" s="5"/>
      <c r="EL294" s="5"/>
      <c r="EM294" s="5"/>
      <c r="EN294" s="5"/>
      <c r="EO294" s="5"/>
      <c r="EP294" s="5"/>
      <c r="EQ294" s="5"/>
      <c r="ER294" s="5"/>
      <c r="ES294" s="5"/>
      <c r="ET294" s="5"/>
      <c r="EU294" s="5"/>
      <c r="EV294" s="5"/>
      <c r="EW294" s="5"/>
      <c r="EX294" s="5"/>
      <c r="EY294" s="5"/>
      <c r="EZ294" s="5"/>
      <c r="FA294" s="5"/>
      <c r="FB294" s="5"/>
      <c r="FC294" s="5"/>
      <c r="FD294" s="5"/>
      <c r="FE294" s="5"/>
      <c r="FF294" s="5"/>
      <c r="FG294" s="5"/>
      <c r="FH294" s="5"/>
      <c r="FI294" s="5"/>
      <c r="FJ294" s="5"/>
      <c r="FK294" s="5"/>
      <c r="FL294" s="5"/>
      <c r="FM294" s="5"/>
      <c r="FN294" s="5"/>
      <c r="FO294" s="5"/>
      <c r="FP294" s="5"/>
      <c r="FQ294" s="5"/>
      <c r="FR294" s="5"/>
      <c r="FS294" s="5"/>
      <c r="FT294" s="5"/>
      <c r="FU294" s="5"/>
      <c r="FV294" s="5"/>
      <c r="FW294" s="5"/>
      <c r="FX294" s="5"/>
      <c r="FY294" s="5"/>
      <c r="FZ294" s="5"/>
      <c r="GA294" s="5"/>
      <c r="GB294" s="5"/>
      <c r="GC294" s="5"/>
      <c r="GD294" s="5"/>
      <c r="GE294" s="5"/>
      <c r="GF294" s="5"/>
      <c r="GG294" s="5"/>
      <c r="GH294" s="5"/>
      <c r="GI294" s="5"/>
      <c r="GJ294" s="5"/>
      <c r="GK294" s="5"/>
      <c r="GL294" s="5"/>
      <c r="GM294" s="5"/>
      <c r="GN294" s="5"/>
      <c r="GO294" s="5"/>
      <c r="GP294" s="5"/>
      <c r="GQ294" s="5"/>
      <c r="GR294" s="5"/>
      <c r="GS294" s="5"/>
      <c r="GT294" s="5"/>
      <c r="GU294" s="5"/>
      <c r="GV294" s="5"/>
      <c r="GW294" s="5"/>
      <c r="GX294" s="5"/>
      <c r="GY294" s="5"/>
      <c r="GZ294" s="5"/>
      <c r="HA294" s="5"/>
      <c r="HB294" s="5"/>
      <c r="HC294" s="5"/>
      <c r="HD294" s="5"/>
      <c r="HE294" s="5"/>
      <c r="HF294" s="5"/>
      <c r="HG294" s="5"/>
      <c r="HH294" s="5"/>
      <c r="HI294" s="5"/>
      <c r="HJ294" s="5"/>
      <c r="HK294" s="5"/>
      <c r="HL294" s="5"/>
      <c r="HM294" s="5"/>
      <c r="HN294" s="5"/>
      <c r="HO294" s="5"/>
      <c r="HP294" s="5"/>
      <c r="HQ294" s="5"/>
      <c r="HR294" s="5"/>
      <c r="HS294" s="5"/>
      <c r="HT294" s="5"/>
      <c r="HU294" s="5"/>
      <c r="HV294" s="5"/>
      <c r="HW294" s="5"/>
      <c r="HX294" s="5"/>
      <c r="HY294" s="5"/>
      <c r="HZ294" s="5"/>
      <c r="IA294" s="5"/>
      <c r="IB294" s="5"/>
      <c r="IC294" s="5"/>
      <c r="ID294" s="5"/>
    </row>
    <row r="295" spans="1:239" customHeight="1" ht="13.2"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"/>
      <c r="CG295" s="5"/>
      <c r="CH295" s="5"/>
      <c r="CI295" s="5"/>
      <c r="CJ295" s="5"/>
      <c r="CK295" s="5"/>
      <c r="CL295" s="5"/>
      <c r="CM295" s="5"/>
      <c r="CN295" s="5"/>
      <c r="CO295" s="5"/>
      <c r="CP295" s="5"/>
      <c r="CQ295" s="5"/>
      <c r="CR295" s="5"/>
      <c r="CS295" s="5"/>
      <c r="CT295" s="5"/>
      <c r="CU295" s="5"/>
      <c r="CV295" s="5"/>
      <c r="CW295" s="5"/>
      <c r="CX295" s="5"/>
      <c r="CY295" s="5"/>
      <c r="CZ295" s="5"/>
      <c r="DA295" s="5"/>
      <c r="DB295" s="5"/>
      <c r="DC295" s="5"/>
      <c r="DD295" s="5"/>
      <c r="DE295" s="5"/>
      <c r="DF295" s="5"/>
      <c r="DG295" s="5"/>
      <c r="DH295" s="5"/>
      <c r="DI295" s="5"/>
      <c r="DJ295" s="5"/>
      <c r="DK295" s="5"/>
      <c r="DL295" s="5"/>
      <c r="DM295" s="5"/>
      <c r="DN295" s="5"/>
      <c r="DO295" s="5"/>
      <c r="DP295" s="5"/>
      <c r="DQ295" s="5"/>
      <c r="DR295" s="5"/>
      <c r="DS295" s="5"/>
      <c r="DT295" s="5"/>
      <c r="DU295" s="5"/>
      <c r="DV295" s="5"/>
      <c r="DW295" s="5"/>
      <c r="DX295" s="5"/>
      <c r="DY295" s="5"/>
      <c r="DZ295" s="5"/>
      <c r="EA295" s="5"/>
      <c r="EB295" s="5"/>
      <c r="EC295" s="5"/>
      <c r="ED295" s="5"/>
      <c r="EE295" s="5"/>
      <c r="EF295" s="5"/>
      <c r="EG295" s="5"/>
      <c r="EH295" s="5"/>
      <c r="EI295" s="5"/>
      <c r="EJ295" s="5"/>
      <c r="EK295" s="5"/>
      <c r="EL295" s="5"/>
      <c r="EM295" s="5"/>
      <c r="EN295" s="5"/>
      <c r="EO295" s="5"/>
      <c r="EP295" s="5"/>
      <c r="EQ295" s="5"/>
      <c r="ER295" s="5"/>
      <c r="ES295" s="5"/>
      <c r="ET295" s="5"/>
      <c r="EU295" s="5"/>
      <c r="EV295" s="5"/>
      <c r="EW295" s="5"/>
      <c r="EX295" s="5"/>
      <c r="EY295" s="5"/>
      <c r="EZ295" s="5"/>
      <c r="FA295" s="5"/>
      <c r="FB295" s="5"/>
      <c r="FC295" s="5"/>
      <c r="FD295" s="5"/>
      <c r="FE295" s="5"/>
      <c r="FF295" s="5"/>
      <c r="FG295" s="5"/>
      <c r="FH295" s="5"/>
      <c r="FI295" s="5"/>
      <c r="FJ295" s="5"/>
      <c r="FK295" s="5"/>
      <c r="FL295" s="5"/>
      <c r="FM295" s="5"/>
      <c r="FN295" s="5"/>
      <c r="FO295" s="5"/>
      <c r="FP295" s="5"/>
      <c r="FQ295" s="5"/>
      <c r="FR295" s="5"/>
      <c r="FS295" s="5"/>
      <c r="FT295" s="5"/>
      <c r="FU295" s="5"/>
      <c r="FV295" s="5"/>
      <c r="FW295" s="5"/>
      <c r="FX295" s="5"/>
      <c r="FY295" s="5"/>
      <c r="FZ295" s="5"/>
      <c r="GA295" s="5"/>
      <c r="GB295" s="5"/>
      <c r="GC295" s="5"/>
      <c r="GD295" s="5"/>
      <c r="GE295" s="5"/>
      <c r="GF295" s="5"/>
      <c r="GG295" s="5"/>
      <c r="GH295" s="5"/>
      <c r="GI295" s="5"/>
      <c r="GJ295" s="5"/>
      <c r="GK295" s="5"/>
      <c r="GL295" s="5"/>
      <c r="GM295" s="5"/>
      <c r="GN295" s="5"/>
      <c r="GO295" s="5"/>
      <c r="GP295" s="5"/>
      <c r="GQ295" s="5"/>
      <c r="GR295" s="5"/>
      <c r="GS295" s="5"/>
      <c r="GT295" s="5"/>
      <c r="GU295" s="5"/>
      <c r="GV295" s="5"/>
      <c r="GW295" s="5"/>
      <c r="GX295" s="5"/>
      <c r="GY295" s="5"/>
      <c r="GZ295" s="5"/>
      <c r="HA295" s="5"/>
      <c r="HB295" s="5"/>
      <c r="HC295" s="5"/>
      <c r="HD295" s="5"/>
      <c r="HE295" s="5"/>
      <c r="HF295" s="5"/>
      <c r="HG295" s="5"/>
      <c r="HH295" s="5"/>
      <c r="HI295" s="5"/>
      <c r="HJ295" s="5"/>
      <c r="HK295" s="5"/>
      <c r="HL295" s="5"/>
      <c r="HM295" s="5"/>
      <c r="HN295" s="5"/>
      <c r="HO295" s="5"/>
      <c r="HP295" s="5"/>
      <c r="HQ295" s="5"/>
      <c r="HR295" s="5"/>
      <c r="HS295" s="5"/>
      <c r="HT295" s="5"/>
      <c r="HU295" s="5"/>
      <c r="HV295" s="5"/>
      <c r="HW295" s="5"/>
      <c r="HX295" s="5"/>
      <c r="HY295" s="5"/>
      <c r="HZ295" s="5"/>
      <c r="IA295" s="5"/>
      <c r="IB295" s="5"/>
      <c r="IC295" s="5"/>
      <c r="ID295" s="5"/>
    </row>
    <row r="296" spans="1:239" customHeight="1" ht="13.2"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  <c r="CG296" s="5"/>
      <c r="CH296" s="5"/>
      <c r="CI296" s="5"/>
      <c r="CJ296" s="5"/>
      <c r="CK296" s="5"/>
      <c r="CL296" s="5"/>
      <c r="CM296" s="5"/>
      <c r="CN296" s="5"/>
      <c r="CO296" s="5"/>
      <c r="CP296" s="5"/>
      <c r="CQ296" s="5"/>
      <c r="CR296" s="5"/>
      <c r="CS296" s="5"/>
      <c r="CT296" s="5"/>
      <c r="CU296" s="5"/>
      <c r="CV296" s="5"/>
      <c r="CW296" s="5"/>
      <c r="CX296" s="5"/>
      <c r="CY296" s="5"/>
      <c r="CZ296" s="5"/>
      <c r="DA296" s="5"/>
      <c r="DB296" s="5"/>
      <c r="DC296" s="5"/>
      <c r="DD296" s="5"/>
      <c r="DE296" s="5"/>
      <c r="DF296" s="5"/>
      <c r="DG296" s="5"/>
      <c r="DH296" s="5"/>
      <c r="DI296" s="5"/>
      <c r="DJ296" s="5"/>
      <c r="DK296" s="5"/>
      <c r="DL296" s="5"/>
      <c r="DM296" s="5"/>
      <c r="DN296" s="5"/>
      <c r="DO296" s="5"/>
      <c r="DP296" s="5"/>
      <c r="DQ296" s="5"/>
      <c r="DR296" s="5"/>
      <c r="DS296" s="5"/>
      <c r="DT296" s="5"/>
      <c r="DU296" s="5"/>
      <c r="DV296" s="5"/>
      <c r="DW296" s="5"/>
      <c r="DX296" s="5"/>
      <c r="DY296" s="5"/>
      <c r="DZ296" s="5"/>
      <c r="EA296" s="5"/>
      <c r="EB296" s="5"/>
      <c r="EC296" s="5"/>
      <c r="ED296" s="5"/>
      <c r="EE296" s="5"/>
      <c r="EF296" s="5"/>
      <c r="EG296" s="5"/>
      <c r="EH296" s="5"/>
      <c r="EI296" s="5"/>
      <c r="EJ296" s="5"/>
      <c r="EK296" s="5"/>
      <c r="EL296" s="5"/>
      <c r="EM296" s="5"/>
      <c r="EN296" s="5"/>
      <c r="EO296" s="5"/>
      <c r="EP296" s="5"/>
      <c r="EQ296" s="5"/>
      <c r="ER296" s="5"/>
      <c r="ES296" s="5"/>
      <c r="ET296" s="5"/>
      <c r="EU296" s="5"/>
      <c r="EV296" s="5"/>
      <c r="EW296" s="5"/>
      <c r="EX296" s="5"/>
      <c r="EY296" s="5"/>
      <c r="EZ296" s="5"/>
      <c r="FA296" s="5"/>
      <c r="FB296" s="5"/>
      <c r="FC296" s="5"/>
      <c r="FD296" s="5"/>
      <c r="FE296" s="5"/>
      <c r="FF296" s="5"/>
      <c r="FG296" s="5"/>
      <c r="FH296" s="5"/>
      <c r="FI296" s="5"/>
      <c r="FJ296" s="5"/>
      <c r="FK296" s="5"/>
      <c r="FL296" s="5"/>
      <c r="FM296" s="5"/>
      <c r="FN296" s="5"/>
      <c r="FO296" s="5"/>
      <c r="FP296" s="5"/>
      <c r="FQ296" s="5"/>
      <c r="FR296" s="5"/>
      <c r="FS296" s="5"/>
      <c r="FT296" s="5"/>
      <c r="FU296" s="5"/>
      <c r="FV296" s="5"/>
      <c r="FW296" s="5"/>
      <c r="FX296" s="5"/>
      <c r="FY296" s="5"/>
      <c r="FZ296" s="5"/>
      <c r="GA296" s="5"/>
      <c r="GB296" s="5"/>
      <c r="GC296" s="5"/>
      <c r="GD296" s="5"/>
      <c r="GE296" s="5"/>
      <c r="GF296" s="5"/>
      <c r="GG296" s="5"/>
      <c r="GH296" s="5"/>
      <c r="GI296" s="5"/>
      <c r="GJ296" s="5"/>
      <c r="GK296" s="5"/>
      <c r="GL296" s="5"/>
      <c r="GM296" s="5"/>
      <c r="GN296" s="5"/>
      <c r="GO296" s="5"/>
      <c r="GP296" s="5"/>
      <c r="GQ296" s="5"/>
      <c r="GR296" s="5"/>
      <c r="GS296" s="5"/>
      <c r="GT296" s="5"/>
      <c r="GU296" s="5"/>
      <c r="GV296" s="5"/>
      <c r="GW296" s="5"/>
      <c r="GX296" s="5"/>
      <c r="GY296" s="5"/>
      <c r="GZ296" s="5"/>
      <c r="HA296" s="5"/>
      <c r="HB296" s="5"/>
      <c r="HC296" s="5"/>
      <c r="HD296" s="5"/>
      <c r="HE296" s="5"/>
      <c r="HF296" s="5"/>
      <c r="HG296" s="5"/>
      <c r="HH296" s="5"/>
      <c r="HI296" s="5"/>
      <c r="HJ296" s="5"/>
      <c r="HK296" s="5"/>
      <c r="HL296" s="5"/>
      <c r="HM296" s="5"/>
      <c r="HN296" s="5"/>
      <c r="HO296" s="5"/>
      <c r="HP296" s="5"/>
      <c r="HQ296" s="5"/>
      <c r="HR296" s="5"/>
      <c r="HS296" s="5"/>
      <c r="HT296" s="5"/>
      <c r="HU296" s="5"/>
      <c r="HV296" s="5"/>
      <c r="HW296" s="5"/>
      <c r="HX296" s="5"/>
      <c r="HY296" s="5"/>
      <c r="HZ296" s="5"/>
      <c r="IA296" s="5"/>
      <c r="IB296" s="5"/>
      <c r="IC296" s="5"/>
      <c r="ID296" s="5"/>
    </row>
    <row r="297" spans="1:239" customHeight="1" ht="13.2"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  <c r="CG297" s="5"/>
      <c r="CH297" s="5"/>
      <c r="CI297" s="5"/>
      <c r="CJ297" s="5"/>
      <c r="CK297" s="5"/>
      <c r="CL297" s="5"/>
      <c r="CM297" s="5"/>
      <c r="CN297" s="5"/>
      <c r="CO297" s="5"/>
      <c r="CP297" s="5"/>
      <c r="CQ297" s="5"/>
      <c r="CR297" s="5"/>
      <c r="CS297" s="5"/>
      <c r="CT297" s="5"/>
      <c r="CU297" s="5"/>
      <c r="CV297" s="5"/>
      <c r="CW297" s="5"/>
      <c r="CX297" s="5"/>
      <c r="CY297" s="5"/>
      <c r="CZ297" s="5"/>
      <c r="DA297" s="5"/>
      <c r="DB297" s="5"/>
      <c r="DC297" s="5"/>
      <c r="DD297" s="5"/>
      <c r="DE297" s="5"/>
      <c r="DF297" s="5"/>
      <c r="DG297" s="5"/>
      <c r="DH297" s="5"/>
      <c r="DI297" s="5"/>
      <c r="DJ297" s="5"/>
      <c r="DK297" s="5"/>
      <c r="DL297" s="5"/>
      <c r="DM297" s="5"/>
      <c r="DN297" s="5"/>
      <c r="DO297" s="5"/>
      <c r="DP297" s="5"/>
      <c r="DQ297" s="5"/>
      <c r="DR297" s="5"/>
      <c r="DS297" s="5"/>
      <c r="DT297" s="5"/>
      <c r="DU297" s="5"/>
      <c r="DV297" s="5"/>
      <c r="DW297" s="5"/>
      <c r="DX297" s="5"/>
      <c r="DY297" s="5"/>
      <c r="DZ297" s="5"/>
      <c r="EA297" s="5"/>
      <c r="EB297" s="5"/>
      <c r="EC297" s="5"/>
      <c r="ED297" s="5"/>
      <c r="EE297" s="5"/>
      <c r="EF297" s="5"/>
      <c r="EG297" s="5"/>
      <c r="EH297" s="5"/>
      <c r="EI297" s="5"/>
      <c r="EJ297" s="5"/>
      <c r="EK297" s="5"/>
      <c r="EL297" s="5"/>
      <c r="EM297" s="5"/>
      <c r="EN297" s="5"/>
      <c r="EO297" s="5"/>
      <c r="EP297" s="5"/>
      <c r="EQ297" s="5"/>
      <c r="ER297" s="5"/>
      <c r="ES297" s="5"/>
      <c r="ET297" s="5"/>
      <c r="EU297" s="5"/>
      <c r="EV297" s="5"/>
      <c r="EW297" s="5"/>
      <c r="EX297" s="5"/>
      <c r="EY297" s="5"/>
      <c r="EZ297" s="5"/>
      <c r="FA297" s="5"/>
      <c r="FB297" s="5"/>
      <c r="FC297" s="5"/>
      <c r="FD297" s="5"/>
      <c r="FE297" s="5"/>
      <c r="FF297" s="5"/>
      <c r="FG297" s="5"/>
      <c r="FH297" s="5"/>
      <c r="FI297" s="5"/>
      <c r="FJ297" s="5"/>
      <c r="FK297" s="5"/>
      <c r="FL297" s="5"/>
      <c r="FM297" s="5"/>
      <c r="FN297" s="5"/>
      <c r="FO297" s="5"/>
      <c r="FP297" s="5"/>
      <c r="FQ297" s="5"/>
      <c r="FR297" s="5"/>
      <c r="FS297" s="5"/>
      <c r="FT297" s="5"/>
      <c r="FU297" s="5"/>
      <c r="FV297" s="5"/>
      <c r="FW297" s="5"/>
      <c r="FX297" s="5"/>
      <c r="FY297" s="5"/>
      <c r="FZ297" s="5"/>
      <c r="GA297" s="5"/>
      <c r="GB297" s="5"/>
      <c r="GC297" s="5"/>
      <c r="GD297" s="5"/>
      <c r="GE297" s="5"/>
      <c r="GF297" s="5"/>
      <c r="GG297" s="5"/>
      <c r="GH297" s="5"/>
      <c r="GI297" s="5"/>
      <c r="GJ297" s="5"/>
      <c r="GK297" s="5"/>
      <c r="GL297" s="5"/>
      <c r="GM297" s="5"/>
      <c r="GN297" s="5"/>
      <c r="GO297" s="5"/>
      <c r="GP297" s="5"/>
      <c r="GQ297" s="5"/>
      <c r="GR297" s="5"/>
      <c r="GS297" s="5"/>
      <c r="GT297" s="5"/>
      <c r="GU297" s="5"/>
      <c r="GV297" s="5"/>
      <c r="GW297" s="5"/>
      <c r="GX297" s="5"/>
      <c r="GY297" s="5"/>
      <c r="GZ297" s="5"/>
      <c r="HA297" s="5"/>
      <c r="HB297" s="5"/>
      <c r="HC297" s="5"/>
      <c r="HD297" s="5"/>
      <c r="HE297" s="5"/>
      <c r="HF297" s="5"/>
      <c r="HG297" s="5"/>
      <c r="HH297" s="5"/>
      <c r="HI297" s="5"/>
      <c r="HJ297" s="5"/>
      <c r="HK297" s="5"/>
      <c r="HL297" s="5"/>
      <c r="HM297" s="5"/>
      <c r="HN297" s="5"/>
      <c r="HO297" s="5"/>
      <c r="HP297" s="5"/>
      <c r="HQ297" s="5"/>
      <c r="HR297" s="5"/>
      <c r="HS297" s="5"/>
      <c r="HT297" s="5"/>
      <c r="HU297" s="5"/>
      <c r="HV297" s="5"/>
      <c r="HW297" s="5"/>
      <c r="HX297" s="5"/>
      <c r="HY297" s="5"/>
      <c r="HZ297" s="5"/>
      <c r="IA297" s="5"/>
      <c r="IB297" s="5"/>
      <c r="IC297" s="5"/>
      <c r="ID297" s="5"/>
    </row>
    <row r="298" spans="1:239" customHeight="1" ht="13.2"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/>
      <c r="CH298" s="5"/>
      <c r="CI298" s="5"/>
      <c r="CJ298" s="5"/>
      <c r="CK298" s="5"/>
      <c r="CL298" s="5"/>
      <c r="CM298" s="5"/>
      <c r="CN298" s="5"/>
      <c r="CO298" s="5"/>
      <c r="CP298" s="5"/>
      <c r="CQ298" s="5"/>
      <c r="CR298" s="5"/>
      <c r="CS298" s="5"/>
      <c r="CT298" s="5"/>
      <c r="CU298" s="5"/>
      <c r="CV298" s="5"/>
      <c r="CW298" s="5"/>
      <c r="CX298" s="5"/>
      <c r="CY298" s="5"/>
      <c r="CZ298" s="5"/>
      <c r="DA298" s="5"/>
      <c r="DB298" s="5"/>
      <c r="DC298" s="5"/>
      <c r="DD298" s="5"/>
      <c r="DE298" s="5"/>
      <c r="DF298" s="5"/>
      <c r="DG298" s="5"/>
      <c r="DH298" s="5"/>
      <c r="DI298" s="5"/>
      <c r="DJ298" s="5"/>
      <c r="DK298" s="5"/>
      <c r="DL298" s="5"/>
      <c r="DM298" s="5"/>
      <c r="DN298" s="5"/>
      <c r="DO298" s="5"/>
      <c r="DP298" s="5"/>
      <c r="DQ298" s="5"/>
      <c r="DR298" s="5"/>
      <c r="DS298" s="5"/>
      <c r="DT298" s="5"/>
      <c r="DU298" s="5"/>
      <c r="DV298" s="5"/>
      <c r="DW298" s="5"/>
      <c r="DX298" s="5"/>
      <c r="DY298" s="5"/>
      <c r="DZ298" s="5"/>
      <c r="EA298" s="5"/>
      <c r="EB298" s="5"/>
      <c r="EC298" s="5"/>
      <c r="ED298" s="5"/>
      <c r="EE298" s="5"/>
      <c r="EF298" s="5"/>
      <c r="EG298" s="5"/>
      <c r="EH298" s="5"/>
      <c r="EI298" s="5"/>
      <c r="EJ298" s="5"/>
      <c r="EK298" s="5"/>
      <c r="EL298" s="5"/>
      <c r="EM298" s="5"/>
      <c r="EN298" s="5"/>
      <c r="EO298" s="5"/>
      <c r="EP298" s="5"/>
      <c r="EQ298" s="5"/>
      <c r="ER298" s="5"/>
      <c r="ES298" s="5"/>
      <c r="ET298" s="5"/>
      <c r="EU298" s="5"/>
      <c r="EV298" s="5"/>
      <c r="EW298" s="5"/>
      <c r="EX298" s="5"/>
      <c r="EY298" s="5"/>
      <c r="EZ298" s="5"/>
      <c r="FA298" s="5"/>
      <c r="FB298" s="5"/>
      <c r="FC298" s="5"/>
      <c r="FD298" s="5"/>
      <c r="FE298" s="5"/>
      <c r="FF298" s="5"/>
      <c r="FG298" s="5"/>
      <c r="FH298" s="5"/>
      <c r="FI298" s="5"/>
      <c r="FJ298" s="5"/>
      <c r="FK298" s="5"/>
      <c r="FL298" s="5"/>
      <c r="FM298" s="5"/>
      <c r="FN298" s="5"/>
      <c r="FO298" s="5"/>
      <c r="FP298" s="5"/>
      <c r="FQ298" s="5"/>
      <c r="FR298" s="5"/>
      <c r="FS298" s="5"/>
      <c r="FT298" s="5"/>
      <c r="FU298" s="5"/>
      <c r="FV298" s="5"/>
      <c r="FW298" s="5"/>
      <c r="FX298" s="5"/>
      <c r="FY298" s="5"/>
      <c r="FZ298" s="5"/>
      <c r="GA298" s="5"/>
      <c r="GB298" s="5"/>
      <c r="GC298" s="5"/>
      <c r="GD298" s="5"/>
      <c r="GE298" s="5"/>
      <c r="GF298" s="5"/>
      <c r="GG298" s="5"/>
      <c r="GH298" s="5"/>
      <c r="GI298" s="5"/>
      <c r="GJ298" s="5"/>
      <c r="GK298" s="5"/>
      <c r="GL298" s="5"/>
      <c r="GM298" s="5"/>
      <c r="GN298" s="5"/>
      <c r="GO298" s="5"/>
      <c r="GP298" s="5"/>
      <c r="GQ298" s="5"/>
      <c r="GR298" s="5"/>
      <c r="GS298" s="5"/>
      <c r="GT298" s="5"/>
      <c r="GU298" s="5"/>
      <c r="GV298" s="5"/>
      <c r="GW298" s="5"/>
      <c r="GX298" s="5"/>
      <c r="GY298" s="5"/>
      <c r="GZ298" s="5"/>
      <c r="HA298" s="5"/>
      <c r="HB298" s="5"/>
      <c r="HC298" s="5"/>
      <c r="HD298" s="5"/>
      <c r="HE298" s="5"/>
      <c r="HF298" s="5"/>
      <c r="HG298" s="5"/>
      <c r="HH298" s="5"/>
      <c r="HI298" s="5"/>
      <c r="HJ298" s="5"/>
      <c r="HK298" s="5"/>
      <c r="HL298" s="5"/>
      <c r="HM298" s="5"/>
      <c r="HN298" s="5"/>
      <c r="HO298" s="5"/>
      <c r="HP298" s="5"/>
      <c r="HQ298" s="5"/>
      <c r="HR298" s="5"/>
      <c r="HS298" s="5"/>
      <c r="HT298" s="5"/>
      <c r="HU298" s="5"/>
      <c r="HV298" s="5"/>
      <c r="HW298" s="5"/>
      <c r="HX298" s="5"/>
      <c r="HY298" s="5"/>
      <c r="HZ298" s="5"/>
      <c r="IA298" s="5"/>
      <c r="IB298" s="5"/>
      <c r="IC298" s="5"/>
      <c r="ID298" s="5"/>
    </row>
    <row r="299" spans="1:239" customHeight="1" ht="13.2"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  <c r="CG299" s="5"/>
      <c r="CH299" s="5"/>
      <c r="CI299" s="5"/>
      <c r="CJ299" s="5"/>
      <c r="CK299" s="5"/>
      <c r="CL299" s="5"/>
      <c r="CM299" s="5"/>
      <c r="CN299" s="5"/>
      <c r="CO299" s="5"/>
      <c r="CP299" s="5"/>
      <c r="CQ299" s="5"/>
      <c r="CR299" s="5"/>
      <c r="CS299" s="5"/>
      <c r="CT299" s="5"/>
      <c r="CU299" s="5"/>
      <c r="CV299" s="5"/>
      <c r="CW299" s="5"/>
      <c r="CX299" s="5"/>
      <c r="CY299" s="5"/>
      <c r="CZ299" s="5"/>
      <c r="DA299" s="5"/>
      <c r="DB299" s="5"/>
      <c r="DC299" s="5"/>
      <c r="DD299" s="5"/>
      <c r="DE299" s="5"/>
      <c r="DF299" s="5"/>
      <c r="DG299" s="5"/>
      <c r="DH299" s="5"/>
      <c r="DI299" s="5"/>
      <c r="DJ299" s="5"/>
      <c r="DK299" s="5"/>
      <c r="DL299" s="5"/>
      <c r="DM299" s="5"/>
      <c r="DN299" s="5"/>
      <c r="DO299" s="5"/>
      <c r="DP299" s="5"/>
      <c r="DQ299" s="5"/>
      <c r="DR299" s="5"/>
      <c r="DS299" s="5"/>
      <c r="DT299" s="5"/>
      <c r="DU299" s="5"/>
      <c r="DV299" s="5"/>
      <c r="DW299" s="5"/>
      <c r="DX299" s="5"/>
      <c r="DY299" s="5"/>
      <c r="DZ299" s="5"/>
      <c r="EA299" s="5"/>
      <c r="EB299" s="5"/>
      <c r="EC299" s="5"/>
      <c r="ED299" s="5"/>
      <c r="EE299" s="5"/>
      <c r="EF299" s="5"/>
      <c r="EG299" s="5"/>
      <c r="EH299" s="5"/>
      <c r="EI299" s="5"/>
      <c r="EJ299" s="5"/>
      <c r="EK299" s="5"/>
      <c r="EL299" s="5"/>
      <c r="EM299" s="5"/>
      <c r="EN299" s="5"/>
      <c r="EO299" s="5"/>
      <c r="EP299" s="5"/>
      <c r="EQ299" s="5"/>
      <c r="ER299" s="5"/>
      <c r="ES299" s="5"/>
      <c r="ET299" s="5"/>
      <c r="EU299" s="5"/>
      <c r="EV299" s="5"/>
      <c r="EW299" s="5"/>
      <c r="EX299" s="5"/>
      <c r="EY299" s="5"/>
      <c r="EZ299" s="5"/>
      <c r="FA299" s="5"/>
      <c r="FB299" s="5"/>
      <c r="FC299" s="5"/>
      <c r="FD299" s="5"/>
      <c r="FE299" s="5"/>
      <c r="FF299" s="5"/>
      <c r="FG299" s="5"/>
      <c r="FH299" s="5"/>
      <c r="FI299" s="5"/>
      <c r="FJ299" s="5"/>
      <c r="FK299" s="5"/>
      <c r="FL299" s="5"/>
      <c r="FM299" s="5"/>
      <c r="FN299" s="5"/>
      <c r="FO299" s="5"/>
      <c r="FP299" s="5"/>
      <c r="FQ299" s="5"/>
      <c r="FR299" s="5"/>
      <c r="FS299" s="5"/>
      <c r="FT299" s="5"/>
      <c r="FU299" s="5"/>
      <c r="FV299" s="5"/>
      <c r="FW299" s="5"/>
      <c r="FX299" s="5"/>
      <c r="FY299" s="5"/>
      <c r="FZ299" s="5"/>
      <c r="GA299" s="5"/>
      <c r="GB299" s="5"/>
      <c r="GC299" s="5"/>
      <c r="GD299" s="5"/>
      <c r="GE299" s="5"/>
      <c r="GF299" s="5"/>
      <c r="GG299" s="5"/>
      <c r="GH299" s="5"/>
      <c r="GI299" s="5"/>
      <c r="GJ299" s="5"/>
      <c r="GK299" s="5"/>
      <c r="GL299" s="5"/>
      <c r="GM299" s="5"/>
      <c r="GN299" s="5"/>
      <c r="GO299" s="5"/>
      <c r="GP299" s="5"/>
      <c r="GQ299" s="5"/>
      <c r="GR299" s="5"/>
      <c r="GS299" s="5"/>
      <c r="GT299" s="5"/>
      <c r="GU299" s="5"/>
      <c r="GV299" s="5"/>
      <c r="GW299" s="5"/>
      <c r="GX299" s="5"/>
      <c r="GY299" s="5"/>
      <c r="GZ299" s="5"/>
      <c r="HA299" s="5"/>
      <c r="HB299" s="5"/>
      <c r="HC299" s="5"/>
      <c r="HD299" s="5"/>
      <c r="HE299" s="5"/>
      <c r="HF299" s="5"/>
      <c r="HG299" s="5"/>
      <c r="HH299" s="5"/>
      <c r="HI299" s="5"/>
      <c r="HJ299" s="5"/>
      <c r="HK299" s="5"/>
      <c r="HL299" s="5"/>
      <c r="HM299" s="5"/>
      <c r="HN299" s="5"/>
      <c r="HO299" s="5"/>
      <c r="HP299" s="5"/>
      <c r="HQ299" s="5"/>
      <c r="HR299" s="5"/>
      <c r="HS299" s="5"/>
      <c r="HT299" s="5"/>
      <c r="HU299" s="5"/>
      <c r="HV299" s="5"/>
      <c r="HW299" s="5"/>
      <c r="HX299" s="5"/>
      <c r="HY299" s="5"/>
      <c r="HZ299" s="5"/>
      <c r="IA299" s="5"/>
      <c r="IB299" s="5"/>
      <c r="IC299" s="5"/>
      <c r="ID299" s="5"/>
    </row>
    <row r="300" spans="1:239" customHeight="1" ht="13.2"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/>
      <c r="CH300" s="5"/>
      <c r="CI300" s="5"/>
      <c r="CJ300" s="5"/>
      <c r="CK300" s="5"/>
      <c r="CL300" s="5"/>
      <c r="CM300" s="5"/>
      <c r="CN300" s="5"/>
      <c r="CO300" s="5"/>
      <c r="CP300" s="5"/>
      <c r="CQ300" s="5"/>
      <c r="CR300" s="5"/>
      <c r="CS300" s="5"/>
      <c r="CT300" s="5"/>
      <c r="CU300" s="5"/>
      <c r="CV300" s="5"/>
      <c r="CW300" s="5"/>
      <c r="CX300" s="5"/>
      <c r="CY300" s="5"/>
      <c r="CZ300" s="5"/>
      <c r="DA300" s="5"/>
      <c r="DB300" s="5"/>
      <c r="DC300" s="5"/>
      <c r="DD300" s="5"/>
      <c r="DE300" s="5"/>
      <c r="DF300" s="5"/>
      <c r="DG300" s="5"/>
      <c r="DH300" s="5"/>
      <c r="DI300" s="5"/>
      <c r="DJ300" s="5"/>
      <c r="DK300" s="5"/>
      <c r="DL300" s="5"/>
      <c r="DM300" s="5"/>
      <c r="DN300" s="5"/>
      <c r="DO300" s="5"/>
      <c r="DP300" s="5"/>
      <c r="DQ300" s="5"/>
      <c r="DR300" s="5"/>
      <c r="DS300" s="5"/>
      <c r="DT300" s="5"/>
      <c r="DU300" s="5"/>
      <c r="DV300" s="5"/>
      <c r="DW300" s="5"/>
      <c r="DX300" s="5"/>
      <c r="DY300" s="5"/>
      <c r="DZ300" s="5"/>
      <c r="EA300" s="5"/>
      <c r="EB300" s="5"/>
      <c r="EC300" s="5"/>
      <c r="ED300" s="5"/>
      <c r="EE300" s="5"/>
      <c r="EF300" s="5"/>
      <c r="EG300" s="5"/>
      <c r="EH300" s="5"/>
      <c r="EI300" s="5"/>
      <c r="EJ300" s="5"/>
      <c r="EK300" s="5"/>
      <c r="EL300" s="5"/>
      <c r="EM300" s="5"/>
      <c r="EN300" s="5"/>
      <c r="EO300" s="5"/>
      <c r="EP300" s="5"/>
      <c r="EQ300" s="5"/>
      <c r="ER300" s="5"/>
      <c r="ES300" s="5"/>
      <c r="ET300" s="5"/>
      <c r="EU300" s="5"/>
      <c r="EV300" s="5"/>
      <c r="EW300" s="5"/>
      <c r="EX300" s="5"/>
      <c r="EY300" s="5"/>
      <c r="EZ300" s="5"/>
      <c r="FA300" s="5"/>
      <c r="FB300" s="5"/>
      <c r="FC300" s="5"/>
      <c r="FD300" s="5"/>
      <c r="FE300" s="5"/>
      <c r="FF300" s="5"/>
      <c r="FG300" s="5"/>
      <c r="FH300" s="5"/>
      <c r="FI300" s="5"/>
      <c r="FJ300" s="5"/>
      <c r="FK300" s="5"/>
      <c r="FL300" s="5"/>
      <c r="FM300" s="5"/>
      <c r="FN300" s="5"/>
      <c r="FO300" s="5"/>
      <c r="FP300" s="5"/>
      <c r="FQ300" s="5"/>
      <c r="FR300" s="5"/>
      <c r="FS300" s="5"/>
      <c r="FT300" s="5"/>
      <c r="FU300" s="5"/>
      <c r="FV300" s="5"/>
      <c r="FW300" s="5"/>
      <c r="FX300" s="5"/>
      <c r="FY300" s="5"/>
      <c r="FZ300" s="5"/>
      <c r="GA300" s="5"/>
      <c r="GB300" s="5"/>
      <c r="GC300" s="5"/>
      <c r="GD300" s="5"/>
      <c r="GE300" s="5"/>
      <c r="GF300" s="5"/>
      <c r="GG300" s="5"/>
      <c r="GH300" s="5"/>
      <c r="GI300" s="5"/>
      <c r="GJ300" s="5"/>
      <c r="GK300" s="5"/>
      <c r="GL300" s="5"/>
      <c r="GM300" s="5"/>
      <c r="GN300" s="5"/>
      <c r="GO300" s="5"/>
      <c r="GP300" s="5"/>
      <c r="GQ300" s="5"/>
      <c r="GR300" s="5"/>
      <c r="GS300" s="5"/>
      <c r="GT300" s="5"/>
      <c r="GU300" s="5"/>
      <c r="GV300" s="5"/>
      <c r="GW300" s="5"/>
      <c r="GX300" s="5"/>
      <c r="GY300" s="5"/>
      <c r="GZ300" s="5"/>
      <c r="HA300" s="5"/>
      <c r="HB300" s="5"/>
      <c r="HC300" s="5"/>
      <c r="HD300" s="5"/>
      <c r="HE300" s="5"/>
      <c r="HF300" s="5"/>
      <c r="HG300" s="5"/>
      <c r="HH300" s="5"/>
      <c r="HI300" s="5"/>
      <c r="HJ300" s="5"/>
      <c r="HK300" s="5"/>
      <c r="HL300" s="5"/>
      <c r="HM300" s="5"/>
      <c r="HN300" s="5"/>
      <c r="HO300" s="5"/>
      <c r="HP300" s="5"/>
      <c r="HQ300" s="5"/>
      <c r="HR300" s="5"/>
      <c r="HS300" s="5"/>
      <c r="HT300" s="5"/>
      <c r="HU300" s="5"/>
      <c r="HV300" s="5"/>
      <c r="HW300" s="5"/>
      <c r="HX300" s="5"/>
      <c r="HY300" s="5"/>
      <c r="HZ300" s="5"/>
      <c r="IA300" s="5"/>
      <c r="IB300" s="5"/>
      <c r="IC300" s="5"/>
      <c r="ID300" s="5"/>
    </row>
    <row r="301" spans="1:239" customHeight="1" ht="13.2"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  <c r="CG301" s="5"/>
      <c r="CH301" s="5"/>
      <c r="CI301" s="5"/>
      <c r="CJ301" s="5"/>
      <c r="CK301" s="5"/>
      <c r="CL301" s="5"/>
      <c r="CM301" s="5"/>
      <c r="CN301" s="5"/>
      <c r="CO301" s="5"/>
      <c r="CP301" s="5"/>
      <c r="CQ301" s="5"/>
      <c r="CR301" s="5"/>
      <c r="CS301" s="5"/>
      <c r="CT301" s="5"/>
      <c r="CU301" s="5"/>
      <c r="CV301" s="5"/>
      <c r="CW301" s="5"/>
      <c r="CX301" s="5"/>
      <c r="CY301" s="5"/>
      <c r="CZ301" s="5"/>
      <c r="DA301" s="5"/>
      <c r="DB301" s="5"/>
      <c r="DC301" s="5"/>
      <c r="DD301" s="5"/>
      <c r="DE301" s="5"/>
      <c r="DF301" s="5"/>
      <c r="DG301" s="5"/>
      <c r="DH301" s="5"/>
      <c r="DI301" s="5"/>
      <c r="DJ301" s="5"/>
      <c r="DK301" s="5"/>
      <c r="DL301" s="5"/>
      <c r="DM301" s="5"/>
      <c r="DN301" s="5"/>
      <c r="DO301" s="5"/>
      <c r="DP301" s="5"/>
      <c r="DQ301" s="5"/>
      <c r="DR301" s="5"/>
      <c r="DS301" s="5"/>
      <c r="DT301" s="5"/>
      <c r="DU301" s="5"/>
      <c r="DV301" s="5"/>
      <c r="DW301" s="5"/>
      <c r="DX301" s="5"/>
      <c r="DY301" s="5"/>
      <c r="DZ301" s="5"/>
      <c r="EA301" s="5"/>
      <c r="EB301" s="5"/>
      <c r="EC301" s="5"/>
      <c r="ED301" s="5"/>
      <c r="EE301" s="5"/>
      <c r="EF301" s="5"/>
      <c r="EG301" s="5"/>
      <c r="EH301" s="5"/>
      <c r="EI301" s="5"/>
      <c r="EJ301" s="5"/>
      <c r="EK301" s="5"/>
      <c r="EL301" s="5"/>
      <c r="EM301" s="5"/>
      <c r="EN301" s="5"/>
      <c r="EO301" s="5"/>
      <c r="EP301" s="5"/>
      <c r="EQ301" s="5"/>
      <c r="ER301" s="5"/>
      <c r="ES301" s="5"/>
      <c r="ET301" s="5"/>
      <c r="EU301" s="5"/>
      <c r="EV301" s="5"/>
      <c r="EW301" s="5"/>
      <c r="EX301" s="5"/>
      <c r="EY301" s="5"/>
      <c r="EZ301" s="5"/>
      <c r="FA301" s="5"/>
      <c r="FB301" s="5"/>
      <c r="FC301" s="5"/>
      <c r="FD301" s="5"/>
      <c r="FE301" s="5"/>
      <c r="FF301" s="5"/>
      <c r="FG301" s="5"/>
      <c r="FH301" s="5"/>
      <c r="FI301" s="5"/>
      <c r="FJ301" s="5"/>
      <c r="FK301" s="5"/>
      <c r="FL301" s="5"/>
      <c r="FM301" s="5"/>
      <c r="FN301" s="5"/>
      <c r="FO301" s="5"/>
      <c r="FP301" s="5"/>
      <c r="FQ301" s="5"/>
      <c r="FR301" s="5"/>
      <c r="FS301" s="5"/>
      <c r="FT301" s="5"/>
      <c r="FU301" s="5"/>
      <c r="FV301" s="5"/>
      <c r="FW301" s="5"/>
      <c r="FX301" s="5"/>
      <c r="FY301" s="5"/>
      <c r="FZ301" s="5"/>
      <c r="GA301" s="5"/>
      <c r="GB301" s="5"/>
      <c r="GC301" s="5"/>
      <c r="GD301" s="5"/>
      <c r="GE301" s="5"/>
      <c r="GF301" s="5"/>
      <c r="GG301" s="5"/>
      <c r="GH301" s="5"/>
      <c r="GI301" s="5"/>
      <c r="GJ301" s="5"/>
      <c r="GK301" s="5"/>
      <c r="GL301" s="5"/>
      <c r="GM301" s="5"/>
      <c r="GN301" s="5"/>
      <c r="GO301" s="5"/>
      <c r="GP301" s="5"/>
      <c r="GQ301" s="5"/>
      <c r="GR301" s="5"/>
      <c r="GS301" s="5"/>
      <c r="GT301" s="5"/>
      <c r="GU301" s="5"/>
      <c r="GV301" s="5"/>
      <c r="GW301" s="5"/>
      <c r="GX301" s="5"/>
      <c r="GY301" s="5"/>
      <c r="GZ301" s="5"/>
      <c r="HA301" s="5"/>
      <c r="HB301" s="5"/>
      <c r="HC301" s="5"/>
      <c r="HD301" s="5"/>
      <c r="HE301" s="5"/>
      <c r="HF301" s="5"/>
      <c r="HG301" s="5"/>
      <c r="HH301" s="5"/>
      <c r="HI301" s="5"/>
      <c r="HJ301" s="5"/>
      <c r="HK301" s="5"/>
      <c r="HL301" s="5"/>
      <c r="HM301" s="5"/>
      <c r="HN301" s="5"/>
      <c r="HO301" s="5"/>
      <c r="HP301" s="5"/>
      <c r="HQ301" s="5"/>
      <c r="HR301" s="5"/>
      <c r="HS301" s="5"/>
      <c r="HT301" s="5"/>
      <c r="HU301" s="5"/>
      <c r="HV301" s="5"/>
      <c r="HW301" s="5"/>
      <c r="HX301" s="5"/>
      <c r="HY301" s="5"/>
      <c r="HZ301" s="5"/>
      <c r="IA301" s="5"/>
      <c r="IB301" s="5"/>
      <c r="IC301" s="5"/>
      <c r="ID301" s="5"/>
    </row>
    <row r="302" spans="1:239" customHeight="1" ht="13.2"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  <c r="CE302" s="5"/>
      <c r="CF302" s="5"/>
      <c r="CG302" s="5"/>
      <c r="CH302" s="5"/>
      <c r="CI302" s="5"/>
      <c r="CJ302" s="5"/>
      <c r="CK302" s="5"/>
      <c r="CL302" s="5"/>
      <c r="CM302" s="5"/>
      <c r="CN302" s="5"/>
      <c r="CO302" s="5"/>
      <c r="CP302" s="5"/>
      <c r="CQ302" s="5"/>
      <c r="CR302" s="5"/>
      <c r="CS302" s="5"/>
      <c r="CT302" s="5"/>
      <c r="CU302" s="5"/>
      <c r="CV302" s="5"/>
      <c r="CW302" s="5"/>
      <c r="CX302" s="5"/>
      <c r="CY302" s="5"/>
      <c r="CZ302" s="5"/>
      <c r="DA302" s="5"/>
      <c r="DB302" s="5"/>
      <c r="DC302" s="5"/>
      <c r="DD302" s="5"/>
      <c r="DE302" s="5"/>
      <c r="DF302" s="5"/>
      <c r="DG302" s="5"/>
      <c r="DH302" s="5"/>
      <c r="DI302" s="5"/>
      <c r="DJ302" s="5"/>
      <c r="DK302" s="5"/>
      <c r="DL302" s="5"/>
      <c r="DM302" s="5"/>
      <c r="DN302" s="5"/>
      <c r="DO302" s="5"/>
      <c r="DP302" s="5"/>
      <c r="DQ302" s="5"/>
      <c r="DR302" s="5"/>
      <c r="DS302" s="5"/>
      <c r="DT302" s="5"/>
      <c r="DU302" s="5"/>
      <c r="DV302" s="5"/>
      <c r="DW302" s="5"/>
      <c r="DX302" s="5"/>
      <c r="DY302" s="5"/>
      <c r="DZ302" s="5"/>
      <c r="EA302" s="5"/>
      <c r="EB302" s="5"/>
      <c r="EC302" s="5"/>
      <c r="ED302" s="5"/>
      <c r="EE302" s="5"/>
      <c r="EF302" s="5"/>
      <c r="EG302" s="5"/>
      <c r="EH302" s="5"/>
      <c r="EI302" s="5"/>
      <c r="EJ302" s="5"/>
      <c r="EK302" s="5"/>
      <c r="EL302" s="5"/>
      <c r="EM302" s="5"/>
      <c r="EN302" s="5"/>
      <c r="EO302" s="5"/>
      <c r="EP302" s="5"/>
      <c r="EQ302" s="5"/>
      <c r="ER302" s="5"/>
      <c r="ES302" s="5"/>
      <c r="ET302" s="5"/>
      <c r="EU302" s="5"/>
      <c r="EV302" s="5"/>
      <c r="EW302" s="5"/>
      <c r="EX302" s="5"/>
      <c r="EY302" s="5"/>
      <c r="EZ302" s="5"/>
      <c r="FA302" s="5"/>
      <c r="FB302" s="5"/>
      <c r="FC302" s="5"/>
      <c r="FD302" s="5"/>
      <c r="FE302" s="5"/>
      <c r="FF302" s="5"/>
      <c r="FG302" s="5"/>
      <c r="FH302" s="5"/>
      <c r="FI302" s="5"/>
      <c r="FJ302" s="5"/>
      <c r="FK302" s="5"/>
      <c r="FL302" s="5"/>
      <c r="FM302" s="5"/>
      <c r="FN302" s="5"/>
      <c r="FO302" s="5"/>
      <c r="FP302" s="5"/>
      <c r="FQ302" s="5"/>
      <c r="FR302" s="5"/>
      <c r="FS302" s="5"/>
      <c r="FT302" s="5"/>
      <c r="FU302" s="5"/>
      <c r="FV302" s="5"/>
      <c r="FW302" s="5"/>
      <c r="FX302" s="5"/>
      <c r="FY302" s="5"/>
      <c r="FZ302" s="5"/>
      <c r="GA302" s="5"/>
      <c r="GB302" s="5"/>
      <c r="GC302" s="5"/>
      <c r="GD302" s="5"/>
      <c r="GE302" s="5"/>
      <c r="GF302" s="5"/>
      <c r="GG302" s="5"/>
      <c r="GH302" s="5"/>
      <c r="GI302" s="5"/>
      <c r="GJ302" s="5"/>
      <c r="GK302" s="5"/>
      <c r="GL302" s="5"/>
      <c r="GM302" s="5"/>
      <c r="GN302" s="5"/>
      <c r="GO302" s="5"/>
      <c r="GP302" s="5"/>
      <c r="GQ302" s="5"/>
      <c r="GR302" s="5"/>
      <c r="GS302" s="5"/>
      <c r="GT302" s="5"/>
      <c r="GU302" s="5"/>
      <c r="GV302" s="5"/>
      <c r="GW302" s="5"/>
      <c r="GX302" s="5"/>
      <c r="GY302" s="5"/>
      <c r="GZ302" s="5"/>
      <c r="HA302" s="5"/>
      <c r="HB302" s="5"/>
      <c r="HC302" s="5"/>
      <c r="HD302" s="5"/>
      <c r="HE302" s="5"/>
      <c r="HF302" s="5"/>
      <c r="HG302" s="5"/>
      <c r="HH302" s="5"/>
      <c r="HI302" s="5"/>
      <c r="HJ302" s="5"/>
      <c r="HK302" s="5"/>
      <c r="HL302" s="5"/>
      <c r="HM302" s="5"/>
      <c r="HN302" s="5"/>
      <c r="HO302" s="5"/>
      <c r="HP302" s="5"/>
      <c r="HQ302" s="5"/>
      <c r="HR302" s="5"/>
      <c r="HS302" s="5"/>
      <c r="HT302" s="5"/>
      <c r="HU302" s="5"/>
      <c r="HV302" s="5"/>
      <c r="HW302" s="5"/>
      <c r="HX302" s="5"/>
      <c r="HY302" s="5"/>
      <c r="HZ302" s="5"/>
      <c r="IA302" s="5"/>
      <c r="IB302" s="5"/>
      <c r="IC302" s="5"/>
      <c r="ID302" s="5"/>
    </row>
    <row r="303" spans="1:239" customHeight="1" ht="13.2"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/>
      <c r="CH303" s="5"/>
      <c r="CI303" s="5"/>
      <c r="CJ303" s="5"/>
      <c r="CK303" s="5"/>
      <c r="CL303" s="5"/>
      <c r="CM303" s="5"/>
      <c r="CN303" s="5"/>
      <c r="CO303" s="5"/>
      <c r="CP303" s="5"/>
      <c r="CQ303" s="5"/>
      <c r="CR303" s="5"/>
      <c r="CS303" s="5"/>
      <c r="CT303" s="5"/>
      <c r="CU303" s="5"/>
      <c r="CV303" s="5"/>
      <c r="CW303" s="5"/>
      <c r="CX303" s="5"/>
      <c r="CY303" s="5"/>
      <c r="CZ303" s="5"/>
      <c r="DA303" s="5"/>
      <c r="DB303" s="5"/>
      <c r="DC303" s="5"/>
      <c r="DD303" s="5"/>
      <c r="DE303" s="5"/>
      <c r="DF303" s="5"/>
      <c r="DG303" s="5"/>
      <c r="DH303" s="5"/>
      <c r="DI303" s="5"/>
      <c r="DJ303" s="5"/>
      <c r="DK303" s="5"/>
      <c r="DL303" s="5"/>
      <c r="DM303" s="5"/>
      <c r="DN303" s="5"/>
      <c r="DO303" s="5"/>
      <c r="DP303" s="5"/>
      <c r="DQ303" s="5"/>
      <c r="DR303" s="5"/>
      <c r="DS303" s="5"/>
      <c r="DT303" s="5"/>
      <c r="DU303" s="5"/>
      <c r="DV303" s="5"/>
      <c r="DW303" s="5"/>
      <c r="DX303" s="5"/>
      <c r="DY303" s="5"/>
      <c r="DZ303" s="5"/>
      <c r="EA303" s="5"/>
      <c r="EB303" s="5"/>
      <c r="EC303" s="5"/>
      <c r="ED303" s="5"/>
      <c r="EE303" s="5"/>
      <c r="EF303" s="5"/>
      <c r="EG303" s="5"/>
      <c r="EH303" s="5"/>
      <c r="EI303" s="5"/>
      <c r="EJ303" s="5"/>
      <c r="EK303" s="5"/>
      <c r="EL303" s="5"/>
      <c r="EM303" s="5"/>
      <c r="EN303" s="5"/>
      <c r="EO303" s="5"/>
      <c r="EP303" s="5"/>
      <c r="EQ303" s="5"/>
      <c r="ER303" s="5"/>
      <c r="ES303" s="5"/>
      <c r="ET303" s="5"/>
      <c r="EU303" s="5"/>
      <c r="EV303" s="5"/>
      <c r="EW303" s="5"/>
      <c r="EX303" s="5"/>
      <c r="EY303" s="5"/>
      <c r="EZ303" s="5"/>
      <c r="FA303" s="5"/>
      <c r="FB303" s="5"/>
      <c r="FC303" s="5"/>
      <c r="FD303" s="5"/>
      <c r="FE303" s="5"/>
      <c r="FF303" s="5"/>
      <c r="FG303" s="5"/>
      <c r="FH303" s="5"/>
      <c r="FI303" s="5"/>
      <c r="FJ303" s="5"/>
      <c r="FK303" s="5"/>
      <c r="FL303" s="5"/>
      <c r="FM303" s="5"/>
      <c r="FN303" s="5"/>
      <c r="FO303" s="5"/>
      <c r="FP303" s="5"/>
      <c r="FQ303" s="5"/>
      <c r="FR303" s="5"/>
      <c r="FS303" s="5"/>
      <c r="FT303" s="5"/>
      <c r="FU303" s="5"/>
      <c r="FV303" s="5"/>
      <c r="FW303" s="5"/>
      <c r="FX303" s="5"/>
      <c r="FY303" s="5"/>
      <c r="FZ303" s="5"/>
      <c r="GA303" s="5"/>
      <c r="GB303" s="5"/>
      <c r="GC303" s="5"/>
      <c r="GD303" s="5"/>
      <c r="GE303" s="5"/>
      <c r="GF303" s="5"/>
      <c r="GG303" s="5"/>
      <c r="GH303" s="5"/>
      <c r="GI303" s="5"/>
      <c r="GJ303" s="5"/>
      <c r="GK303" s="5"/>
      <c r="GL303" s="5"/>
      <c r="GM303" s="5"/>
      <c r="GN303" s="5"/>
      <c r="GO303" s="5"/>
      <c r="GP303" s="5"/>
      <c r="GQ303" s="5"/>
      <c r="GR303" s="5"/>
      <c r="GS303" s="5"/>
      <c r="GT303" s="5"/>
      <c r="GU303" s="5"/>
      <c r="GV303" s="5"/>
      <c r="GW303" s="5"/>
      <c r="GX303" s="5"/>
      <c r="GY303" s="5"/>
      <c r="GZ303" s="5"/>
      <c r="HA303" s="5"/>
      <c r="HB303" s="5"/>
      <c r="HC303" s="5"/>
      <c r="HD303" s="5"/>
      <c r="HE303" s="5"/>
      <c r="HF303" s="5"/>
      <c r="HG303" s="5"/>
      <c r="HH303" s="5"/>
      <c r="HI303" s="5"/>
      <c r="HJ303" s="5"/>
      <c r="HK303" s="5"/>
      <c r="HL303" s="5"/>
      <c r="HM303" s="5"/>
      <c r="HN303" s="5"/>
      <c r="HO303" s="5"/>
      <c r="HP303" s="5"/>
      <c r="HQ303" s="5"/>
      <c r="HR303" s="5"/>
      <c r="HS303" s="5"/>
      <c r="HT303" s="5"/>
      <c r="HU303" s="5"/>
      <c r="HV303" s="5"/>
      <c r="HW303" s="5"/>
      <c r="HX303" s="5"/>
      <c r="HY303" s="5"/>
      <c r="HZ303" s="5"/>
      <c r="IA303" s="5"/>
      <c r="IB303" s="5"/>
      <c r="IC303" s="5"/>
      <c r="ID303" s="5"/>
    </row>
    <row r="304" spans="1:239" customHeight="1" ht="13.2"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  <c r="CG304" s="5"/>
      <c r="CH304" s="5"/>
      <c r="CI304" s="5"/>
      <c r="CJ304" s="5"/>
      <c r="CK304" s="5"/>
      <c r="CL304" s="5"/>
      <c r="CM304" s="5"/>
      <c r="CN304" s="5"/>
      <c r="CO304" s="5"/>
      <c r="CP304" s="5"/>
      <c r="CQ304" s="5"/>
      <c r="CR304" s="5"/>
      <c r="CS304" s="5"/>
      <c r="CT304" s="5"/>
      <c r="CU304" s="5"/>
      <c r="CV304" s="5"/>
      <c r="CW304" s="5"/>
      <c r="CX304" s="5"/>
      <c r="CY304" s="5"/>
      <c r="CZ304" s="5"/>
      <c r="DA304" s="5"/>
      <c r="DB304" s="5"/>
      <c r="DC304" s="5"/>
      <c r="DD304" s="5"/>
      <c r="DE304" s="5"/>
      <c r="DF304" s="5"/>
      <c r="DG304" s="5"/>
      <c r="DH304" s="5"/>
      <c r="DI304" s="5"/>
      <c r="DJ304" s="5"/>
      <c r="DK304" s="5"/>
      <c r="DL304" s="5"/>
      <c r="DM304" s="5"/>
      <c r="DN304" s="5"/>
      <c r="DO304" s="5"/>
      <c r="DP304" s="5"/>
      <c r="DQ304" s="5"/>
      <c r="DR304" s="5"/>
      <c r="DS304" s="5"/>
      <c r="DT304" s="5"/>
      <c r="DU304" s="5"/>
      <c r="DV304" s="5"/>
      <c r="DW304" s="5"/>
      <c r="DX304" s="5"/>
      <c r="DY304" s="5"/>
      <c r="DZ304" s="5"/>
      <c r="EA304" s="5"/>
      <c r="EB304" s="5"/>
      <c r="EC304" s="5"/>
      <c r="ED304" s="5"/>
      <c r="EE304" s="5"/>
      <c r="EF304" s="5"/>
      <c r="EG304" s="5"/>
      <c r="EH304" s="5"/>
      <c r="EI304" s="5"/>
      <c r="EJ304" s="5"/>
      <c r="EK304" s="5"/>
      <c r="EL304" s="5"/>
      <c r="EM304" s="5"/>
      <c r="EN304" s="5"/>
      <c r="EO304" s="5"/>
      <c r="EP304" s="5"/>
      <c r="EQ304" s="5"/>
      <c r="ER304" s="5"/>
      <c r="ES304" s="5"/>
      <c r="ET304" s="5"/>
      <c r="EU304" s="5"/>
      <c r="EV304" s="5"/>
      <c r="EW304" s="5"/>
      <c r="EX304" s="5"/>
      <c r="EY304" s="5"/>
      <c r="EZ304" s="5"/>
      <c r="FA304" s="5"/>
      <c r="FB304" s="5"/>
      <c r="FC304" s="5"/>
      <c r="FD304" s="5"/>
      <c r="FE304" s="5"/>
      <c r="FF304" s="5"/>
      <c r="FG304" s="5"/>
      <c r="FH304" s="5"/>
      <c r="FI304" s="5"/>
      <c r="FJ304" s="5"/>
      <c r="FK304" s="5"/>
      <c r="FL304" s="5"/>
      <c r="FM304" s="5"/>
      <c r="FN304" s="5"/>
      <c r="FO304" s="5"/>
      <c r="FP304" s="5"/>
      <c r="FQ304" s="5"/>
      <c r="FR304" s="5"/>
      <c r="FS304" s="5"/>
      <c r="FT304" s="5"/>
      <c r="FU304" s="5"/>
      <c r="FV304" s="5"/>
      <c r="FW304" s="5"/>
      <c r="FX304" s="5"/>
      <c r="FY304" s="5"/>
      <c r="FZ304" s="5"/>
      <c r="GA304" s="5"/>
      <c r="GB304" s="5"/>
      <c r="GC304" s="5"/>
      <c r="GD304" s="5"/>
      <c r="GE304" s="5"/>
      <c r="GF304" s="5"/>
      <c r="GG304" s="5"/>
      <c r="GH304" s="5"/>
      <c r="GI304" s="5"/>
      <c r="GJ304" s="5"/>
      <c r="GK304" s="5"/>
      <c r="GL304" s="5"/>
      <c r="GM304" s="5"/>
      <c r="GN304" s="5"/>
      <c r="GO304" s="5"/>
      <c r="GP304" s="5"/>
      <c r="GQ304" s="5"/>
      <c r="GR304" s="5"/>
      <c r="GS304" s="5"/>
      <c r="GT304" s="5"/>
      <c r="GU304" s="5"/>
      <c r="GV304" s="5"/>
      <c r="GW304" s="5"/>
      <c r="GX304" s="5"/>
      <c r="GY304" s="5"/>
      <c r="GZ304" s="5"/>
      <c r="HA304" s="5"/>
      <c r="HB304" s="5"/>
      <c r="HC304" s="5"/>
      <c r="HD304" s="5"/>
      <c r="HE304" s="5"/>
      <c r="HF304" s="5"/>
      <c r="HG304" s="5"/>
      <c r="HH304" s="5"/>
      <c r="HI304" s="5"/>
      <c r="HJ304" s="5"/>
      <c r="HK304" s="5"/>
      <c r="HL304" s="5"/>
      <c r="HM304" s="5"/>
      <c r="HN304" s="5"/>
      <c r="HO304" s="5"/>
      <c r="HP304" s="5"/>
      <c r="HQ304" s="5"/>
      <c r="HR304" s="5"/>
      <c r="HS304" s="5"/>
      <c r="HT304" s="5"/>
      <c r="HU304" s="5"/>
      <c r="HV304" s="5"/>
      <c r="HW304" s="5"/>
      <c r="HX304" s="5"/>
      <c r="HY304" s="5"/>
      <c r="HZ304" s="5"/>
      <c r="IA304" s="5"/>
      <c r="IB304" s="5"/>
      <c r="IC304" s="5"/>
      <c r="ID304" s="5"/>
    </row>
    <row r="305" spans="1:239" customHeight="1" ht="13.2"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  <c r="CG305" s="5"/>
      <c r="CH305" s="5"/>
      <c r="CI305" s="5"/>
      <c r="CJ305" s="5"/>
      <c r="CK305" s="5"/>
      <c r="CL305" s="5"/>
      <c r="CM305" s="5"/>
      <c r="CN305" s="5"/>
      <c r="CO305" s="5"/>
      <c r="CP305" s="5"/>
      <c r="CQ305" s="5"/>
      <c r="CR305" s="5"/>
      <c r="CS305" s="5"/>
      <c r="CT305" s="5"/>
      <c r="CU305" s="5"/>
      <c r="CV305" s="5"/>
      <c r="CW305" s="5"/>
      <c r="CX305" s="5"/>
      <c r="CY305" s="5"/>
      <c r="CZ305" s="5"/>
      <c r="DA305" s="5"/>
      <c r="DB305" s="5"/>
      <c r="DC305" s="5"/>
      <c r="DD305" s="5"/>
      <c r="DE305" s="5"/>
      <c r="DF305" s="5"/>
      <c r="DG305" s="5"/>
      <c r="DH305" s="5"/>
      <c r="DI305" s="5"/>
      <c r="DJ305" s="5"/>
      <c r="DK305" s="5"/>
      <c r="DL305" s="5"/>
      <c r="DM305" s="5"/>
      <c r="DN305" s="5"/>
      <c r="DO305" s="5"/>
      <c r="DP305" s="5"/>
      <c r="DQ305" s="5"/>
      <c r="DR305" s="5"/>
      <c r="DS305" s="5"/>
      <c r="DT305" s="5"/>
      <c r="DU305" s="5"/>
      <c r="DV305" s="5"/>
      <c r="DW305" s="5"/>
      <c r="DX305" s="5"/>
      <c r="DY305" s="5"/>
      <c r="DZ305" s="5"/>
      <c r="EA305" s="5"/>
      <c r="EB305" s="5"/>
      <c r="EC305" s="5"/>
      <c r="ED305" s="5"/>
      <c r="EE305" s="5"/>
      <c r="EF305" s="5"/>
      <c r="EG305" s="5"/>
      <c r="EH305" s="5"/>
      <c r="EI305" s="5"/>
      <c r="EJ305" s="5"/>
      <c r="EK305" s="5"/>
      <c r="EL305" s="5"/>
      <c r="EM305" s="5"/>
      <c r="EN305" s="5"/>
      <c r="EO305" s="5"/>
      <c r="EP305" s="5"/>
      <c r="EQ305" s="5"/>
      <c r="ER305" s="5"/>
      <c r="ES305" s="5"/>
      <c r="ET305" s="5"/>
      <c r="EU305" s="5"/>
      <c r="EV305" s="5"/>
      <c r="EW305" s="5"/>
      <c r="EX305" s="5"/>
      <c r="EY305" s="5"/>
      <c r="EZ305" s="5"/>
      <c r="FA305" s="5"/>
      <c r="FB305" s="5"/>
      <c r="FC305" s="5"/>
      <c r="FD305" s="5"/>
      <c r="FE305" s="5"/>
      <c r="FF305" s="5"/>
      <c r="FG305" s="5"/>
      <c r="FH305" s="5"/>
      <c r="FI305" s="5"/>
      <c r="FJ305" s="5"/>
      <c r="FK305" s="5"/>
      <c r="FL305" s="5"/>
      <c r="FM305" s="5"/>
      <c r="FN305" s="5"/>
      <c r="FO305" s="5"/>
      <c r="FP305" s="5"/>
      <c r="FQ305" s="5"/>
      <c r="FR305" s="5"/>
      <c r="FS305" s="5"/>
      <c r="FT305" s="5"/>
      <c r="FU305" s="5"/>
      <c r="FV305" s="5"/>
      <c r="FW305" s="5"/>
      <c r="FX305" s="5"/>
      <c r="FY305" s="5"/>
      <c r="FZ305" s="5"/>
      <c r="GA305" s="5"/>
      <c r="GB305" s="5"/>
      <c r="GC305" s="5"/>
      <c r="GD305" s="5"/>
      <c r="GE305" s="5"/>
      <c r="GF305" s="5"/>
      <c r="GG305" s="5"/>
      <c r="GH305" s="5"/>
      <c r="GI305" s="5"/>
      <c r="GJ305" s="5"/>
      <c r="GK305" s="5"/>
      <c r="GL305" s="5"/>
      <c r="GM305" s="5"/>
      <c r="GN305" s="5"/>
      <c r="GO305" s="5"/>
      <c r="GP305" s="5"/>
      <c r="GQ305" s="5"/>
      <c r="GR305" s="5"/>
      <c r="GS305" s="5"/>
      <c r="GT305" s="5"/>
      <c r="GU305" s="5"/>
      <c r="GV305" s="5"/>
      <c r="GW305" s="5"/>
      <c r="GX305" s="5"/>
      <c r="GY305" s="5"/>
      <c r="GZ305" s="5"/>
      <c r="HA305" s="5"/>
      <c r="HB305" s="5"/>
      <c r="HC305" s="5"/>
      <c r="HD305" s="5"/>
      <c r="HE305" s="5"/>
      <c r="HF305" s="5"/>
      <c r="HG305" s="5"/>
      <c r="HH305" s="5"/>
      <c r="HI305" s="5"/>
      <c r="HJ305" s="5"/>
      <c r="HK305" s="5"/>
      <c r="HL305" s="5"/>
      <c r="HM305" s="5"/>
      <c r="HN305" s="5"/>
      <c r="HO305" s="5"/>
      <c r="HP305" s="5"/>
      <c r="HQ305" s="5"/>
      <c r="HR305" s="5"/>
      <c r="HS305" s="5"/>
      <c r="HT305" s="5"/>
      <c r="HU305" s="5"/>
      <c r="HV305" s="5"/>
      <c r="HW305" s="5"/>
      <c r="HX305" s="5"/>
      <c r="HY305" s="5"/>
      <c r="HZ305" s="5"/>
      <c r="IA305" s="5"/>
      <c r="IB305" s="5"/>
      <c r="IC305" s="5"/>
      <c r="ID305" s="5"/>
    </row>
    <row r="306" spans="1:239" customHeight="1" ht="13.2"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  <c r="CO306" s="5"/>
      <c r="CP306" s="5"/>
      <c r="CQ306" s="5"/>
      <c r="CR306" s="5"/>
      <c r="CS306" s="5"/>
      <c r="CT306" s="5"/>
      <c r="CU306" s="5"/>
      <c r="CV306" s="5"/>
      <c r="CW306" s="5"/>
      <c r="CX306" s="5"/>
      <c r="CY306" s="5"/>
      <c r="CZ306" s="5"/>
      <c r="DA306" s="5"/>
      <c r="DB306" s="5"/>
      <c r="DC306" s="5"/>
      <c r="DD306" s="5"/>
      <c r="DE306" s="5"/>
      <c r="DF306" s="5"/>
      <c r="DG306" s="5"/>
      <c r="DH306" s="5"/>
      <c r="DI306" s="5"/>
      <c r="DJ306" s="5"/>
      <c r="DK306" s="5"/>
      <c r="DL306" s="5"/>
      <c r="DM306" s="5"/>
      <c r="DN306" s="5"/>
      <c r="DO306" s="5"/>
      <c r="DP306" s="5"/>
      <c r="DQ306" s="5"/>
      <c r="DR306" s="5"/>
      <c r="DS306" s="5"/>
      <c r="DT306" s="5"/>
      <c r="DU306" s="5"/>
      <c r="DV306" s="5"/>
      <c r="DW306" s="5"/>
      <c r="DX306" s="5"/>
      <c r="DY306" s="5"/>
      <c r="DZ306" s="5"/>
      <c r="EA306" s="5"/>
      <c r="EB306" s="5"/>
      <c r="EC306" s="5"/>
      <c r="ED306" s="5"/>
      <c r="EE306" s="5"/>
      <c r="EF306" s="5"/>
      <c r="EG306" s="5"/>
      <c r="EH306" s="5"/>
      <c r="EI306" s="5"/>
      <c r="EJ306" s="5"/>
      <c r="EK306" s="5"/>
      <c r="EL306" s="5"/>
      <c r="EM306" s="5"/>
      <c r="EN306" s="5"/>
      <c r="EO306" s="5"/>
      <c r="EP306" s="5"/>
      <c r="EQ306" s="5"/>
      <c r="ER306" s="5"/>
      <c r="ES306" s="5"/>
      <c r="ET306" s="5"/>
      <c r="EU306" s="5"/>
      <c r="EV306" s="5"/>
      <c r="EW306" s="5"/>
      <c r="EX306" s="5"/>
      <c r="EY306" s="5"/>
      <c r="EZ306" s="5"/>
      <c r="FA306" s="5"/>
      <c r="FB306" s="5"/>
      <c r="FC306" s="5"/>
      <c r="FD306" s="5"/>
      <c r="FE306" s="5"/>
      <c r="FF306" s="5"/>
      <c r="FG306" s="5"/>
      <c r="FH306" s="5"/>
      <c r="FI306" s="5"/>
      <c r="FJ306" s="5"/>
      <c r="FK306" s="5"/>
      <c r="FL306" s="5"/>
      <c r="FM306" s="5"/>
      <c r="FN306" s="5"/>
      <c r="FO306" s="5"/>
      <c r="FP306" s="5"/>
      <c r="FQ306" s="5"/>
      <c r="FR306" s="5"/>
      <c r="FS306" s="5"/>
      <c r="FT306" s="5"/>
      <c r="FU306" s="5"/>
      <c r="FV306" s="5"/>
      <c r="FW306" s="5"/>
      <c r="FX306" s="5"/>
      <c r="FY306" s="5"/>
      <c r="FZ306" s="5"/>
      <c r="GA306" s="5"/>
      <c r="GB306" s="5"/>
      <c r="GC306" s="5"/>
      <c r="GD306" s="5"/>
      <c r="GE306" s="5"/>
      <c r="GF306" s="5"/>
      <c r="GG306" s="5"/>
      <c r="GH306" s="5"/>
      <c r="GI306" s="5"/>
      <c r="GJ306" s="5"/>
      <c r="GK306" s="5"/>
      <c r="GL306" s="5"/>
      <c r="GM306" s="5"/>
      <c r="GN306" s="5"/>
      <c r="GO306" s="5"/>
      <c r="GP306" s="5"/>
      <c r="GQ306" s="5"/>
      <c r="GR306" s="5"/>
      <c r="GS306" s="5"/>
      <c r="GT306" s="5"/>
      <c r="GU306" s="5"/>
      <c r="GV306" s="5"/>
      <c r="GW306" s="5"/>
      <c r="GX306" s="5"/>
      <c r="GY306" s="5"/>
      <c r="GZ306" s="5"/>
      <c r="HA306" s="5"/>
      <c r="HB306" s="5"/>
      <c r="HC306" s="5"/>
      <c r="HD306" s="5"/>
      <c r="HE306" s="5"/>
      <c r="HF306" s="5"/>
      <c r="HG306" s="5"/>
      <c r="HH306" s="5"/>
      <c r="HI306" s="5"/>
      <c r="HJ306" s="5"/>
      <c r="HK306" s="5"/>
      <c r="HL306" s="5"/>
      <c r="HM306" s="5"/>
      <c r="HN306" s="5"/>
      <c r="HO306" s="5"/>
      <c r="HP306" s="5"/>
      <c r="HQ306" s="5"/>
      <c r="HR306" s="5"/>
      <c r="HS306" s="5"/>
      <c r="HT306" s="5"/>
      <c r="HU306" s="5"/>
      <c r="HV306" s="5"/>
      <c r="HW306" s="5"/>
      <c r="HX306" s="5"/>
      <c r="HY306" s="5"/>
      <c r="HZ306" s="5"/>
      <c r="IA306" s="5"/>
      <c r="IB306" s="5"/>
      <c r="IC306" s="5"/>
      <c r="ID306" s="5"/>
    </row>
    <row r="307" spans="1:239" customHeight="1" ht="13.2"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  <c r="CG307" s="5"/>
      <c r="CH307" s="5"/>
      <c r="CI307" s="5"/>
      <c r="CJ307" s="5"/>
      <c r="CK307" s="5"/>
      <c r="CL307" s="5"/>
      <c r="CM307" s="5"/>
      <c r="CN307" s="5"/>
      <c r="CO307" s="5"/>
      <c r="CP307" s="5"/>
      <c r="CQ307" s="5"/>
      <c r="CR307" s="5"/>
      <c r="CS307" s="5"/>
      <c r="CT307" s="5"/>
      <c r="CU307" s="5"/>
      <c r="CV307" s="5"/>
      <c r="CW307" s="5"/>
      <c r="CX307" s="5"/>
      <c r="CY307" s="5"/>
      <c r="CZ307" s="5"/>
      <c r="DA307" s="5"/>
      <c r="DB307" s="5"/>
      <c r="DC307" s="5"/>
      <c r="DD307" s="5"/>
      <c r="DE307" s="5"/>
      <c r="DF307" s="5"/>
      <c r="DG307" s="5"/>
      <c r="DH307" s="5"/>
      <c r="DI307" s="5"/>
      <c r="DJ307" s="5"/>
      <c r="DK307" s="5"/>
      <c r="DL307" s="5"/>
      <c r="DM307" s="5"/>
      <c r="DN307" s="5"/>
      <c r="DO307" s="5"/>
      <c r="DP307" s="5"/>
      <c r="DQ307" s="5"/>
      <c r="DR307" s="5"/>
      <c r="DS307" s="5"/>
      <c r="DT307" s="5"/>
      <c r="DU307" s="5"/>
      <c r="DV307" s="5"/>
      <c r="DW307" s="5"/>
      <c r="DX307" s="5"/>
      <c r="DY307" s="5"/>
      <c r="DZ307" s="5"/>
      <c r="EA307" s="5"/>
      <c r="EB307" s="5"/>
      <c r="EC307" s="5"/>
      <c r="ED307" s="5"/>
      <c r="EE307" s="5"/>
      <c r="EF307" s="5"/>
      <c r="EG307" s="5"/>
      <c r="EH307" s="5"/>
      <c r="EI307" s="5"/>
      <c r="EJ307" s="5"/>
      <c r="EK307" s="5"/>
      <c r="EL307" s="5"/>
      <c r="EM307" s="5"/>
      <c r="EN307" s="5"/>
      <c r="EO307" s="5"/>
      <c r="EP307" s="5"/>
      <c r="EQ307" s="5"/>
      <c r="ER307" s="5"/>
      <c r="ES307" s="5"/>
      <c r="ET307" s="5"/>
      <c r="EU307" s="5"/>
      <c r="EV307" s="5"/>
      <c r="EW307" s="5"/>
      <c r="EX307" s="5"/>
      <c r="EY307" s="5"/>
      <c r="EZ307" s="5"/>
      <c r="FA307" s="5"/>
      <c r="FB307" s="5"/>
      <c r="FC307" s="5"/>
      <c r="FD307" s="5"/>
      <c r="FE307" s="5"/>
      <c r="FF307" s="5"/>
      <c r="FG307" s="5"/>
      <c r="FH307" s="5"/>
      <c r="FI307" s="5"/>
      <c r="FJ307" s="5"/>
      <c r="FK307" s="5"/>
      <c r="FL307" s="5"/>
      <c r="FM307" s="5"/>
      <c r="FN307" s="5"/>
      <c r="FO307" s="5"/>
      <c r="FP307" s="5"/>
      <c r="FQ307" s="5"/>
      <c r="FR307" s="5"/>
      <c r="FS307" s="5"/>
      <c r="FT307" s="5"/>
      <c r="FU307" s="5"/>
      <c r="FV307" s="5"/>
      <c r="FW307" s="5"/>
      <c r="FX307" s="5"/>
      <c r="FY307" s="5"/>
      <c r="FZ307" s="5"/>
      <c r="GA307" s="5"/>
      <c r="GB307" s="5"/>
      <c r="GC307" s="5"/>
      <c r="GD307" s="5"/>
      <c r="GE307" s="5"/>
      <c r="GF307" s="5"/>
      <c r="GG307" s="5"/>
      <c r="GH307" s="5"/>
      <c r="GI307" s="5"/>
      <c r="GJ307" s="5"/>
      <c r="GK307" s="5"/>
      <c r="GL307" s="5"/>
      <c r="GM307" s="5"/>
      <c r="GN307" s="5"/>
      <c r="GO307" s="5"/>
      <c r="GP307" s="5"/>
      <c r="GQ307" s="5"/>
      <c r="GR307" s="5"/>
      <c r="GS307" s="5"/>
      <c r="GT307" s="5"/>
      <c r="GU307" s="5"/>
      <c r="GV307" s="5"/>
      <c r="GW307" s="5"/>
      <c r="GX307" s="5"/>
      <c r="GY307" s="5"/>
      <c r="GZ307" s="5"/>
      <c r="HA307" s="5"/>
      <c r="HB307" s="5"/>
      <c r="HC307" s="5"/>
      <c r="HD307" s="5"/>
      <c r="HE307" s="5"/>
      <c r="HF307" s="5"/>
      <c r="HG307" s="5"/>
      <c r="HH307" s="5"/>
      <c r="HI307" s="5"/>
      <c r="HJ307" s="5"/>
      <c r="HK307" s="5"/>
      <c r="HL307" s="5"/>
      <c r="HM307" s="5"/>
      <c r="HN307" s="5"/>
      <c r="HO307" s="5"/>
      <c r="HP307" s="5"/>
      <c r="HQ307" s="5"/>
      <c r="HR307" s="5"/>
      <c r="HS307" s="5"/>
      <c r="HT307" s="5"/>
      <c r="HU307" s="5"/>
      <c r="HV307" s="5"/>
      <c r="HW307" s="5"/>
      <c r="HX307" s="5"/>
      <c r="HY307" s="5"/>
      <c r="HZ307" s="5"/>
      <c r="IA307" s="5"/>
      <c r="IB307" s="5"/>
      <c r="IC307" s="5"/>
      <c r="ID307" s="5"/>
    </row>
    <row r="308" spans="1:239" customHeight="1" ht="13.2"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  <c r="CG308" s="5"/>
      <c r="CH308" s="5"/>
      <c r="CI308" s="5"/>
      <c r="CJ308" s="5"/>
      <c r="CK308" s="5"/>
      <c r="CL308" s="5"/>
      <c r="CM308" s="5"/>
      <c r="CN308" s="5"/>
      <c r="CO308" s="5"/>
      <c r="CP308" s="5"/>
      <c r="CQ308" s="5"/>
      <c r="CR308" s="5"/>
      <c r="CS308" s="5"/>
      <c r="CT308" s="5"/>
      <c r="CU308" s="5"/>
      <c r="CV308" s="5"/>
      <c r="CW308" s="5"/>
      <c r="CX308" s="5"/>
      <c r="CY308" s="5"/>
      <c r="CZ308" s="5"/>
      <c r="DA308" s="5"/>
      <c r="DB308" s="5"/>
      <c r="DC308" s="5"/>
      <c r="DD308" s="5"/>
      <c r="DE308" s="5"/>
      <c r="DF308" s="5"/>
      <c r="DG308" s="5"/>
      <c r="DH308" s="5"/>
      <c r="DI308" s="5"/>
      <c r="DJ308" s="5"/>
      <c r="DK308" s="5"/>
      <c r="DL308" s="5"/>
      <c r="DM308" s="5"/>
      <c r="DN308" s="5"/>
      <c r="DO308" s="5"/>
      <c r="DP308" s="5"/>
      <c r="DQ308" s="5"/>
      <c r="DR308" s="5"/>
      <c r="DS308" s="5"/>
      <c r="DT308" s="5"/>
      <c r="DU308" s="5"/>
      <c r="DV308" s="5"/>
      <c r="DW308" s="5"/>
      <c r="DX308" s="5"/>
      <c r="DY308" s="5"/>
      <c r="DZ308" s="5"/>
      <c r="EA308" s="5"/>
      <c r="EB308" s="5"/>
      <c r="EC308" s="5"/>
      <c r="ED308" s="5"/>
      <c r="EE308" s="5"/>
      <c r="EF308" s="5"/>
      <c r="EG308" s="5"/>
      <c r="EH308" s="5"/>
      <c r="EI308" s="5"/>
      <c r="EJ308" s="5"/>
      <c r="EK308" s="5"/>
      <c r="EL308" s="5"/>
      <c r="EM308" s="5"/>
      <c r="EN308" s="5"/>
      <c r="EO308" s="5"/>
      <c r="EP308" s="5"/>
      <c r="EQ308" s="5"/>
      <c r="ER308" s="5"/>
      <c r="ES308" s="5"/>
      <c r="ET308" s="5"/>
      <c r="EU308" s="5"/>
      <c r="EV308" s="5"/>
      <c r="EW308" s="5"/>
      <c r="EX308" s="5"/>
      <c r="EY308" s="5"/>
      <c r="EZ308" s="5"/>
      <c r="FA308" s="5"/>
      <c r="FB308" s="5"/>
      <c r="FC308" s="5"/>
      <c r="FD308" s="5"/>
      <c r="FE308" s="5"/>
      <c r="FF308" s="5"/>
      <c r="FG308" s="5"/>
      <c r="FH308" s="5"/>
      <c r="FI308" s="5"/>
      <c r="FJ308" s="5"/>
      <c r="FK308" s="5"/>
      <c r="FL308" s="5"/>
      <c r="FM308" s="5"/>
      <c r="FN308" s="5"/>
      <c r="FO308" s="5"/>
      <c r="FP308" s="5"/>
      <c r="FQ308" s="5"/>
      <c r="FR308" s="5"/>
      <c r="FS308" s="5"/>
      <c r="FT308" s="5"/>
      <c r="FU308" s="5"/>
      <c r="FV308" s="5"/>
      <c r="FW308" s="5"/>
      <c r="FX308" s="5"/>
      <c r="FY308" s="5"/>
      <c r="FZ308" s="5"/>
      <c r="GA308" s="5"/>
      <c r="GB308" s="5"/>
      <c r="GC308" s="5"/>
      <c r="GD308" s="5"/>
      <c r="GE308" s="5"/>
      <c r="GF308" s="5"/>
      <c r="GG308" s="5"/>
      <c r="GH308" s="5"/>
      <c r="GI308" s="5"/>
      <c r="GJ308" s="5"/>
      <c r="GK308" s="5"/>
      <c r="GL308" s="5"/>
      <c r="GM308" s="5"/>
      <c r="GN308" s="5"/>
      <c r="GO308" s="5"/>
      <c r="GP308" s="5"/>
      <c r="GQ308" s="5"/>
      <c r="GR308" s="5"/>
      <c r="GS308" s="5"/>
      <c r="GT308" s="5"/>
      <c r="GU308" s="5"/>
      <c r="GV308" s="5"/>
      <c r="GW308" s="5"/>
      <c r="GX308" s="5"/>
      <c r="GY308" s="5"/>
      <c r="GZ308" s="5"/>
      <c r="HA308" s="5"/>
      <c r="HB308" s="5"/>
      <c r="HC308" s="5"/>
      <c r="HD308" s="5"/>
      <c r="HE308" s="5"/>
      <c r="HF308" s="5"/>
      <c r="HG308" s="5"/>
      <c r="HH308" s="5"/>
      <c r="HI308" s="5"/>
      <c r="HJ308" s="5"/>
      <c r="HK308" s="5"/>
      <c r="HL308" s="5"/>
      <c r="HM308" s="5"/>
      <c r="HN308" s="5"/>
      <c r="HO308" s="5"/>
      <c r="HP308" s="5"/>
      <c r="HQ308" s="5"/>
      <c r="HR308" s="5"/>
      <c r="HS308" s="5"/>
      <c r="HT308" s="5"/>
      <c r="HU308" s="5"/>
      <c r="HV308" s="5"/>
      <c r="HW308" s="5"/>
      <c r="HX308" s="5"/>
      <c r="HY308" s="5"/>
      <c r="HZ308" s="5"/>
      <c r="IA308" s="5"/>
      <c r="IB308" s="5"/>
      <c r="IC308" s="5"/>
      <c r="ID308" s="5"/>
    </row>
    <row r="309" spans="1:239" customHeight="1" ht="13.2"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  <c r="CG309" s="5"/>
      <c r="CH309" s="5"/>
      <c r="CI309" s="5"/>
      <c r="CJ309" s="5"/>
      <c r="CK309" s="5"/>
      <c r="CL309" s="5"/>
      <c r="CM309" s="5"/>
      <c r="CN309" s="5"/>
      <c r="CO309" s="5"/>
      <c r="CP309" s="5"/>
      <c r="CQ309" s="5"/>
      <c r="CR309" s="5"/>
      <c r="CS309" s="5"/>
      <c r="CT309" s="5"/>
      <c r="CU309" s="5"/>
      <c r="CV309" s="5"/>
      <c r="CW309" s="5"/>
      <c r="CX309" s="5"/>
      <c r="CY309" s="5"/>
      <c r="CZ309" s="5"/>
      <c r="DA309" s="5"/>
      <c r="DB309" s="5"/>
      <c r="DC309" s="5"/>
      <c r="DD309" s="5"/>
      <c r="DE309" s="5"/>
      <c r="DF309" s="5"/>
      <c r="DG309" s="5"/>
      <c r="DH309" s="5"/>
      <c r="DI309" s="5"/>
      <c r="DJ309" s="5"/>
      <c r="DK309" s="5"/>
      <c r="DL309" s="5"/>
      <c r="DM309" s="5"/>
      <c r="DN309" s="5"/>
      <c r="DO309" s="5"/>
      <c r="DP309" s="5"/>
      <c r="DQ309" s="5"/>
      <c r="DR309" s="5"/>
      <c r="DS309" s="5"/>
      <c r="DT309" s="5"/>
      <c r="DU309" s="5"/>
      <c r="DV309" s="5"/>
      <c r="DW309" s="5"/>
      <c r="DX309" s="5"/>
      <c r="DY309" s="5"/>
      <c r="DZ309" s="5"/>
      <c r="EA309" s="5"/>
      <c r="EB309" s="5"/>
      <c r="EC309" s="5"/>
      <c r="ED309" s="5"/>
      <c r="EE309" s="5"/>
      <c r="EF309" s="5"/>
      <c r="EG309" s="5"/>
      <c r="EH309" s="5"/>
      <c r="EI309" s="5"/>
      <c r="EJ309" s="5"/>
      <c r="EK309" s="5"/>
      <c r="EL309" s="5"/>
      <c r="EM309" s="5"/>
      <c r="EN309" s="5"/>
      <c r="EO309" s="5"/>
      <c r="EP309" s="5"/>
      <c r="EQ309" s="5"/>
      <c r="ER309" s="5"/>
      <c r="ES309" s="5"/>
      <c r="ET309" s="5"/>
      <c r="EU309" s="5"/>
      <c r="EV309" s="5"/>
      <c r="EW309" s="5"/>
      <c r="EX309" s="5"/>
      <c r="EY309" s="5"/>
      <c r="EZ309" s="5"/>
      <c r="FA309" s="5"/>
      <c r="FB309" s="5"/>
      <c r="FC309" s="5"/>
      <c r="FD309" s="5"/>
      <c r="FE309" s="5"/>
      <c r="FF309" s="5"/>
      <c r="FG309" s="5"/>
      <c r="FH309" s="5"/>
      <c r="FI309" s="5"/>
      <c r="FJ309" s="5"/>
      <c r="FK309" s="5"/>
      <c r="FL309" s="5"/>
      <c r="FM309" s="5"/>
      <c r="FN309" s="5"/>
      <c r="FO309" s="5"/>
      <c r="FP309" s="5"/>
      <c r="FQ309" s="5"/>
      <c r="FR309" s="5"/>
      <c r="FS309" s="5"/>
      <c r="FT309" s="5"/>
      <c r="FU309" s="5"/>
      <c r="FV309" s="5"/>
      <c r="FW309" s="5"/>
      <c r="FX309" s="5"/>
      <c r="FY309" s="5"/>
      <c r="FZ309" s="5"/>
      <c r="GA309" s="5"/>
      <c r="GB309" s="5"/>
      <c r="GC309" s="5"/>
      <c r="GD309" s="5"/>
      <c r="GE309" s="5"/>
      <c r="GF309" s="5"/>
      <c r="GG309" s="5"/>
      <c r="GH309" s="5"/>
      <c r="GI309" s="5"/>
      <c r="GJ309" s="5"/>
      <c r="GK309" s="5"/>
      <c r="GL309" s="5"/>
      <c r="GM309" s="5"/>
      <c r="GN309" s="5"/>
      <c r="GO309" s="5"/>
      <c r="GP309" s="5"/>
      <c r="GQ309" s="5"/>
      <c r="GR309" s="5"/>
      <c r="GS309" s="5"/>
      <c r="GT309" s="5"/>
      <c r="GU309" s="5"/>
      <c r="GV309" s="5"/>
      <c r="GW309" s="5"/>
      <c r="GX309" s="5"/>
      <c r="GY309" s="5"/>
      <c r="GZ309" s="5"/>
      <c r="HA309" s="5"/>
      <c r="HB309" s="5"/>
      <c r="HC309" s="5"/>
      <c r="HD309" s="5"/>
      <c r="HE309" s="5"/>
      <c r="HF309" s="5"/>
      <c r="HG309" s="5"/>
      <c r="HH309" s="5"/>
      <c r="HI309" s="5"/>
      <c r="HJ309" s="5"/>
      <c r="HK309" s="5"/>
      <c r="HL309" s="5"/>
      <c r="HM309" s="5"/>
      <c r="HN309" s="5"/>
      <c r="HO309" s="5"/>
      <c r="HP309" s="5"/>
      <c r="HQ309" s="5"/>
      <c r="HR309" s="5"/>
      <c r="HS309" s="5"/>
      <c r="HT309" s="5"/>
      <c r="HU309" s="5"/>
      <c r="HV309" s="5"/>
      <c r="HW309" s="5"/>
      <c r="HX309" s="5"/>
      <c r="HY309" s="5"/>
      <c r="HZ309" s="5"/>
      <c r="IA309" s="5"/>
      <c r="IB309" s="5"/>
      <c r="IC309" s="5"/>
      <c r="ID309" s="5"/>
    </row>
    <row r="310" spans="1:239" customHeight="1" ht="13.2"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  <c r="CH310" s="5"/>
      <c r="CI310" s="5"/>
      <c r="CJ310" s="5"/>
      <c r="CK310" s="5"/>
      <c r="CL310" s="5"/>
      <c r="CM310" s="5"/>
      <c r="CN310" s="5"/>
      <c r="CO310" s="5"/>
      <c r="CP310" s="5"/>
      <c r="CQ310" s="5"/>
      <c r="CR310" s="5"/>
      <c r="CS310" s="5"/>
      <c r="CT310" s="5"/>
      <c r="CU310" s="5"/>
      <c r="CV310" s="5"/>
      <c r="CW310" s="5"/>
      <c r="CX310" s="5"/>
      <c r="CY310" s="5"/>
      <c r="CZ310" s="5"/>
      <c r="DA310" s="5"/>
      <c r="DB310" s="5"/>
      <c r="DC310" s="5"/>
      <c r="DD310" s="5"/>
      <c r="DE310" s="5"/>
      <c r="DF310" s="5"/>
      <c r="DG310" s="5"/>
      <c r="DH310" s="5"/>
      <c r="DI310" s="5"/>
      <c r="DJ310" s="5"/>
      <c r="DK310" s="5"/>
      <c r="DL310" s="5"/>
      <c r="DM310" s="5"/>
      <c r="DN310" s="5"/>
      <c r="DO310" s="5"/>
      <c r="DP310" s="5"/>
      <c r="DQ310" s="5"/>
      <c r="DR310" s="5"/>
      <c r="DS310" s="5"/>
      <c r="DT310" s="5"/>
      <c r="DU310" s="5"/>
      <c r="DV310" s="5"/>
      <c r="DW310" s="5"/>
      <c r="DX310" s="5"/>
      <c r="DY310" s="5"/>
      <c r="DZ310" s="5"/>
      <c r="EA310" s="5"/>
      <c r="EB310" s="5"/>
      <c r="EC310" s="5"/>
      <c r="ED310" s="5"/>
      <c r="EE310" s="5"/>
      <c r="EF310" s="5"/>
      <c r="EG310" s="5"/>
      <c r="EH310" s="5"/>
      <c r="EI310" s="5"/>
      <c r="EJ310" s="5"/>
      <c r="EK310" s="5"/>
      <c r="EL310" s="5"/>
      <c r="EM310" s="5"/>
      <c r="EN310" s="5"/>
      <c r="EO310" s="5"/>
      <c r="EP310" s="5"/>
      <c r="EQ310" s="5"/>
      <c r="ER310" s="5"/>
      <c r="ES310" s="5"/>
      <c r="ET310" s="5"/>
      <c r="EU310" s="5"/>
      <c r="EV310" s="5"/>
      <c r="EW310" s="5"/>
      <c r="EX310" s="5"/>
      <c r="EY310" s="5"/>
      <c r="EZ310" s="5"/>
      <c r="FA310" s="5"/>
      <c r="FB310" s="5"/>
      <c r="FC310" s="5"/>
      <c r="FD310" s="5"/>
      <c r="FE310" s="5"/>
      <c r="FF310" s="5"/>
      <c r="FG310" s="5"/>
      <c r="FH310" s="5"/>
      <c r="FI310" s="5"/>
      <c r="FJ310" s="5"/>
      <c r="FK310" s="5"/>
      <c r="FL310" s="5"/>
      <c r="FM310" s="5"/>
      <c r="FN310" s="5"/>
      <c r="FO310" s="5"/>
      <c r="FP310" s="5"/>
      <c r="FQ310" s="5"/>
      <c r="FR310" s="5"/>
      <c r="FS310" s="5"/>
      <c r="FT310" s="5"/>
      <c r="FU310" s="5"/>
      <c r="FV310" s="5"/>
      <c r="FW310" s="5"/>
      <c r="FX310" s="5"/>
      <c r="FY310" s="5"/>
      <c r="FZ310" s="5"/>
      <c r="GA310" s="5"/>
      <c r="GB310" s="5"/>
      <c r="GC310" s="5"/>
      <c r="GD310" s="5"/>
      <c r="GE310" s="5"/>
      <c r="GF310" s="5"/>
      <c r="GG310" s="5"/>
      <c r="GH310" s="5"/>
      <c r="GI310" s="5"/>
      <c r="GJ310" s="5"/>
      <c r="GK310" s="5"/>
      <c r="GL310" s="5"/>
      <c r="GM310" s="5"/>
      <c r="GN310" s="5"/>
      <c r="GO310" s="5"/>
      <c r="GP310" s="5"/>
      <c r="GQ310" s="5"/>
      <c r="GR310" s="5"/>
      <c r="GS310" s="5"/>
      <c r="GT310" s="5"/>
      <c r="GU310" s="5"/>
      <c r="GV310" s="5"/>
      <c r="GW310" s="5"/>
      <c r="GX310" s="5"/>
      <c r="GY310" s="5"/>
      <c r="GZ310" s="5"/>
      <c r="HA310" s="5"/>
      <c r="HB310" s="5"/>
      <c r="HC310" s="5"/>
      <c r="HD310" s="5"/>
      <c r="HE310" s="5"/>
      <c r="HF310" s="5"/>
      <c r="HG310" s="5"/>
      <c r="HH310" s="5"/>
      <c r="HI310" s="5"/>
      <c r="HJ310" s="5"/>
      <c r="HK310" s="5"/>
      <c r="HL310" s="5"/>
      <c r="HM310" s="5"/>
      <c r="HN310" s="5"/>
      <c r="HO310" s="5"/>
      <c r="HP310" s="5"/>
      <c r="HQ310" s="5"/>
      <c r="HR310" s="5"/>
      <c r="HS310" s="5"/>
      <c r="HT310" s="5"/>
      <c r="HU310" s="5"/>
      <c r="HV310" s="5"/>
      <c r="HW310" s="5"/>
      <c r="HX310" s="5"/>
      <c r="HY310" s="5"/>
      <c r="HZ310" s="5"/>
      <c r="IA310" s="5"/>
      <c r="IB310" s="5"/>
      <c r="IC310" s="5"/>
      <c r="ID310" s="5"/>
    </row>
    <row r="311" spans="1:239" customHeight="1" ht="13.2"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  <c r="CG311" s="5"/>
      <c r="CH311" s="5"/>
      <c r="CI311" s="5"/>
      <c r="CJ311" s="5"/>
      <c r="CK311" s="5"/>
      <c r="CL311" s="5"/>
      <c r="CM311" s="5"/>
      <c r="CN311" s="5"/>
      <c r="CO311" s="5"/>
      <c r="CP311" s="5"/>
      <c r="CQ311" s="5"/>
      <c r="CR311" s="5"/>
      <c r="CS311" s="5"/>
      <c r="CT311" s="5"/>
      <c r="CU311" s="5"/>
      <c r="CV311" s="5"/>
      <c r="CW311" s="5"/>
      <c r="CX311" s="5"/>
      <c r="CY311" s="5"/>
      <c r="CZ311" s="5"/>
      <c r="DA311" s="5"/>
      <c r="DB311" s="5"/>
      <c r="DC311" s="5"/>
      <c r="DD311" s="5"/>
      <c r="DE311" s="5"/>
      <c r="DF311" s="5"/>
      <c r="DG311" s="5"/>
      <c r="DH311" s="5"/>
      <c r="DI311" s="5"/>
      <c r="DJ311" s="5"/>
      <c r="DK311" s="5"/>
      <c r="DL311" s="5"/>
      <c r="DM311" s="5"/>
      <c r="DN311" s="5"/>
      <c r="DO311" s="5"/>
      <c r="DP311" s="5"/>
      <c r="DQ311" s="5"/>
      <c r="DR311" s="5"/>
      <c r="DS311" s="5"/>
      <c r="DT311" s="5"/>
      <c r="DU311" s="5"/>
      <c r="DV311" s="5"/>
      <c r="DW311" s="5"/>
      <c r="DX311" s="5"/>
      <c r="DY311" s="5"/>
      <c r="DZ311" s="5"/>
      <c r="EA311" s="5"/>
      <c r="EB311" s="5"/>
      <c r="EC311" s="5"/>
      <c r="ED311" s="5"/>
      <c r="EE311" s="5"/>
      <c r="EF311" s="5"/>
      <c r="EG311" s="5"/>
      <c r="EH311" s="5"/>
      <c r="EI311" s="5"/>
      <c r="EJ311" s="5"/>
      <c r="EK311" s="5"/>
      <c r="EL311" s="5"/>
      <c r="EM311" s="5"/>
      <c r="EN311" s="5"/>
      <c r="EO311" s="5"/>
      <c r="EP311" s="5"/>
      <c r="EQ311" s="5"/>
      <c r="ER311" s="5"/>
      <c r="ES311" s="5"/>
      <c r="ET311" s="5"/>
      <c r="EU311" s="5"/>
      <c r="EV311" s="5"/>
      <c r="EW311" s="5"/>
      <c r="EX311" s="5"/>
      <c r="EY311" s="5"/>
      <c r="EZ311" s="5"/>
      <c r="FA311" s="5"/>
      <c r="FB311" s="5"/>
      <c r="FC311" s="5"/>
      <c r="FD311" s="5"/>
      <c r="FE311" s="5"/>
      <c r="FF311" s="5"/>
      <c r="FG311" s="5"/>
      <c r="FH311" s="5"/>
      <c r="FI311" s="5"/>
      <c r="FJ311" s="5"/>
      <c r="FK311" s="5"/>
      <c r="FL311" s="5"/>
      <c r="FM311" s="5"/>
      <c r="FN311" s="5"/>
      <c r="FO311" s="5"/>
      <c r="FP311" s="5"/>
      <c r="FQ311" s="5"/>
      <c r="FR311" s="5"/>
      <c r="FS311" s="5"/>
      <c r="FT311" s="5"/>
      <c r="FU311" s="5"/>
      <c r="FV311" s="5"/>
      <c r="FW311" s="5"/>
      <c r="FX311" s="5"/>
      <c r="FY311" s="5"/>
      <c r="FZ311" s="5"/>
      <c r="GA311" s="5"/>
      <c r="GB311" s="5"/>
      <c r="GC311" s="5"/>
      <c r="GD311" s="5"/>
      <c r="GE311" s="5"/>
      <c r="GF311" s="5"/>
      <c r="GG311" s="5"/>
      <c r="GH311" s="5"/>
      <c r="GI311" s="5"/>
      <c r="GJ311" s="5"/>
      <c r="GK311" s="5"/>
      <c r="GL311" s="5"/>
      <c r="GM311" s="5"/>
      <c r="GN311" s="5"/>
      <c r="GO311" s="5"/>
      <c r="GP311" s="5"/>
      <c r="GQ311" s="5"/>
      <c r="GR311" s="5"/>
      <c r="GS311" s="5"/>
      <c r="GT311" s="5"/>
      <c r="GU311" s="5"/>
      <c r="GV311" s="5"/>
      <c r="GW311" s="5"/>
      <c r="GX311" s="5"/>
      <c r="GY311" s="5"/>
      <c r="GZ311" s="5"/>
      <c r="HA311" s="5"/>
      <c r="HB311" s="5"/>
      <c r="HC311" s="5"/>
      <c r="HD311" s="5"/>
      <c r="HE311" s="5"/>
      <c r="HF311" s="5"/>
      <c r="HG311" s="5"/>
      <c r="HH311" s="5"/>
      <c r="HI311" s="5"/>
      <c r="HJ311" s="5"/>
      <c r="HK311" s="5"/>
      <c r="HL311" s="5"/>
      <c r="HM311" s="5"/>
      <c r="HN311" s="5"/>
      <c r="HO311" s="5"/>
      <c r="HP311" s="5"/>
      <c r="HQ311" s="5"/>
      <c r="HR311" s="5"/>
      <c r="HS311" s="5"/>
      <c r="HT311" s="5"/>
      <c r="HU311" s="5"/>
      <c r="HV311" s="5"/>
      <c r="HW311" s="5"/>
      <c r="HX311" s="5"/>
      <c r="HY311" s="5"/>
      <c r="HZ311" s="5"/>
      <c r="IA311" s="5"/>
      <c r="IB311" s="5"/>
      <c r="IC311" s="5"/>
      <c r="ID311" s="5"/>
    </row>
    <row r="312" spans="1:239" customHeight="1" ht="13.2"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  <c r="CH312" s="5"/>
      <c r="CI312" s="5"/>
      <c r="CJ312" s="5"/>
      <c r="CK312" s="5"/>
      <c r="CL312" s="5"/>
      <c r="CM312" s="5"/>
      <c r="CN312" s="5"/>
      <c r="CO312" s="5"/>
      <c r="CP312" s="5"/>
      <c r="CQ312" s="5"/>
      <c r="CR312" s="5"/>
      <c r="CS312" s="5"/>
      <c r="CT312" s="5"/>
      <c r="CU312" s="5"/>
      <c r="CV312" s="5"/>
      <c r="CW312" s="5"/>
      <c r="CX312" s="5"/>
      <c r="CY312" s="5"/>
      <c r="CZ312" s="5"/>
      <c r="DA312" s="5"/>
      <c r="DB312" s="5"/>
      <c r="DC312" s="5"/>
      <c r="DD312" s="5"/>
      <c r="DE312" s="5"/>
      <c r="DF312" s="5"/>
      <c r="DG312" s="5"/>
      <c r="DH312" s="5"/>
      <c r="DI312" s="5"/>
      <c r="DJ312" s="5"/>
      <c r="DK312" s="5"/>
      <c r="DL312" s="5"/>
      <c r="DM312" s="5"/>
      <c r="DN312" s="5"/>
      <c r="DO312" s="5"/>
      <c r="DP312" s="5"/>
      <c r="DQ312" s="5"/>
      <c r="DR312" s="5"/>
      <c r="DS312" s="5"/>
      <c r="DT312" s="5"/>
      <c r="DU312" s="5"/>
      <c r="DV312" s="5"/>
      <c r="DW312" s="5"/>
      <c r="DX312" s="5"/>
      <c r="DY312" s="5"/>
      <c r="DZ312" s="5"/>
      <c r="EA312" s="5"/>
      <c r="EB312" s="5"/>
      <c r="EC312" s="5"/>
      <c r="ED312" s="5"/>
      <c r="EE312" s="5"/>
      <c r="EF312" s="5"/>
      <c r="EG312" s="5"/>
      <c r="EH312" s="5"/>
      <c r="EI312" s="5"/>
      <c r="EJ312" s="5"/>
      <c r="EK312" s="5"/>
      <c r="EL312" s="5"/>
      <c r="EM312" s="5"/>
      <c r="EN312" s="5"/>
      <c r="EO312" s="5"/>
      <c r="EP312" s="5"/>
      <c r="EQ312" s="5"/>
      <c r="ER312" s="5"/>
      <c r="ES312" s="5"/>
      <c r="ET312" s="5"/>
      <c r="EU312" s="5"/>
      <c r="EV312" s="5"/>
      <c r="EW312" s="5"/>
      <c r="EX312" s="5"/>
      <c r="EY312" s="5"/>
      <c r="EZ312" s="5"/>
      <c r="FA312" s="5"/>
      <c r="FB312" s="5"/>
      <c r="FC312" s="5"/>
      <c r="FD312" s="5"/>
      <c r="FE312" s="5"/>
      <c r="FF312" s="5"/>
      <c r="FG312" s="5"/>
      <c r="FH312" s="5"/>
      <c r="FI312" s="5"/>
      <c r="FJ312" s="5"/>
      <c r="FK312" s="5"/>
      <c r="FL312" s="5"/>
      <c r="FM312" s="5"/>
      <c r="FN312" s="5"/>
      <c r="FO312" s="5"/>
      <c r="FP312" s="5"/>
      <c r="FQ312" s="5"/>
      <c r="FR312" s="5"/>
      <c r="FS312" s="5"/>
      <c r="FT312" s="5"/>
      <c r="FU312" s="5"/>
      <c r="FV312" s="5"/>
      <c r="FW312" s="5"/>
      <c r="FX312" s="5"/>
      <c r="FY312" s="5"/>
      <c r="FZ312" s="5"/>
      <c r="GA312" s="5"/>
      <c r="GB312" s="5"/>
      <c r="GC312" s="5"/>
      <c r="GD312" s="5"/>
      <c r="GE312" s="5"/>
      <c r="GF312" s="5"/>
      <c r="GG312" s="5"/>
      <c r="GH312" s="5"/>
      <c r="GI312" s="5"/>
      <c r="GJ312" s="5"/>
      <c r="GK312" s="5"/>
      <c r="GL312" s="5"/>
      <c r="GM312" s="5"/>
      <c r="GN312" s="5"/>
      <c r="GO312" s="5"/>
      <c r="GP312" s="5"/>
      <c r="GQ312" s="5"/>
      <c r="GR312" s="5"/>
      <c r="GS312" s="5"/>
      <c r="GT312" s="5"/>
      <c r="GU312" s="5"/>
      <c r="GV312" s="5"/>
      <c r="GW312" s="5"/>
      <c r="GX312" s="5"/>
      <c r="GY312" s="5"/>
      <c r="GZ312" s="5"/>
      <c r="HA312" s="5"/>
      <c r="HB312" s="5"/>
      <c r="HC312" s="5"/>
      <c r="HD312" s="5"/>
      <c r="HE312" s="5"/>
      <c r="HF312" s="5"/>
      <c r="HG312" s="5"/>
      <c r="HH312" s="5"/>
      <c r="HI312" s="5"/>
      <c r="HJ312" s="5"/>
      <c r="HK312" s="5"/>
      <c r="HL312" s="5"/>
      <c r="HM312" s="5"/>
      <c r="HN312" s="5"/>
      <c r="HO312" s="5"/>
      <c r="HP312" s="5"/>
      <c r="HQ312" s="5"/>
      <c r="HR312" s="5"/>
      <c r="HS312" s="5"/>
      <c r="HT312" s="5"/>
      <c r="HU312" s="5"/>
      <c r="HV312" s="5"/>
      <c r="HW312" s="5"/>
      <c r="HX312" s="5"/>
      <c r="HY312" s="5"/>
      <c r="HZ312" s="5"/>
      <c r="IA312" s="5"/>
      <c r="IB312" s="5"/>
      <c r="IC312" s="5"/>
      <c r="ID312" s="5"/>
    </row>
    <row r="313" spans="1:239" customHeight="1" ht="13.2"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  <c r="CG313" s="5"/>
      <c r="CH313" s="5"/>
      <c r="CI313" s="5"/>
      <c r="CJ313" s="5"/>
      <c r="CK313" s="5"/>
      <c r="CL313" s="5"/>
      <c r="CM313" s="5"/>
      <c r="CN313" s="5"/>
      <c r="CO313" s="5"/>
      <c r="CP313" s="5"/>
      <c r="CQ313" s="5"/>
      <c r="CR313" s="5"/>
      <c r="CS313" s="5"/>
      <c r="CT313" s="5"/>
      <c r="CU313" s="5"/>
      <c r="CV313" s="5"/>
      <c r="CW313" s="5"/>
      <c r="CX313" s="5"/>
      <c r="CY313" s="5"/>
      <c r="CZ313" s="5"/>
      <c r="DA313" s="5"/>
      <c r="DB313" s="5"/>
      <c r="DC313" s="5"/>
      <c r="DD313" s="5"/>
      <c r="DE313" s="5"/>
      <c r="DF313" s="5"/>
      <c r="DG313" s="5"/>
      <c r="DH313" s="5"/>
      <c r="DI313" s="5"/>
      <c r="DJ313" s="5"/>
      <c r="DK313" s="5"/>
      <c r="DL313" s="5"/>
      <c r="DM313" s="5"/>
      <c r="DN313" s="5"/>
      <c r="DO313" s="5"/>
      <c r="DP313" s="5"/>
      <c r="DQ313" s="5"/>
      <c r="DR313" s="5"/>
      <c r="DS313" s="5"/>
      <c r="DT313" s="5"/>
      <c r="DU313" s="5"/>
      <c r="DV313" s="5"/>
      <c r="DW313" s="5"/>
      <c r="DX313" s="5"/>
      <c r="DY313" s="5"/>
      <c r="DZ313" s="5"/>
      <c r="EA313" s="5"/>
      <c r="EB313" s="5"/>
      <c r="EC313" s="5"/>
      <c r="ED313" s="5"/>
      <c r="EE313" s="5"/>
      <c r="EF313" s="5"/>
      <c r="EG313" s="5"/>
      <c r="EH313" s="5"/>
      <c r="EI313" s="5"/>
      <c r="EJ313" s="5"/>
      <c r="EK313" s="5"/>
      <c r="EL313" s="5"/>
      <c r="EM313" s="5"/>
      <c r="EN313" s="5"/>
      <c r="EO313" s="5"/>
      <c r="EP313" s="5"/>
      <c r="EQ313" s="5"/>
      <c r="ER313" s="5"/>
      <c r="ES313" s="5"/>
      <c r="ET313" s="5"/>
      <c r="EU313" s="5"/>
      <c r="EV313" s="5"/>
      <c r="EW313" s="5"/>
      <c r="EX313" s="5"/>
      <c r="EY313" s="5"/>
      <c r="EZ313" s="5"/>
      <c r="FA313" s="5"/>
      <c r="FB313" s="5"/>
      <c r="FC313" s="5"/>
      <c r="FD313" s="5"/>
      <c r="FE313" s="5"/>
      <c r="FF313" s="5"/>
      <c r="FG313" s="5"/>
      <c r="FH313" s="5"/>
      <c r="FI313" s="5"/>
      <c r="FJ313" s="5"/>
      <c r="FK313" s="5"/>
      <c r="FL313" s="5"/>
      <c r="FM313" s="5"/>
      <c r="FN313" s="5"/>
      <c r="FO313" s="5"/>
      <c r="FP313" s="5"/>
      <c r="FQ313" s="5"/>
      <c r="FR313" s="5"/>
      <c r="FS313" s="5"/>
      <c r="FT313" s="5"/>
      <c r="FU313" s="5"/>
      <c r="FV313" s="5"/>
      <c r="FW313" s="5"/>
      <c r="FX313" s="5"/>
      <c r="FY313" s="5"/>
      <c r="FZ313" s="5"/>
      <c r="GA313" s="5"/>
      <c r="GB313" s="5"/>
      <c r="GC313" s="5"/>
      <c r="GD313" s="5"/>
      <c r="GE313" s="5"/>
      <c r="GF313" s="5"/>
      <c r="GG313" s="5"/>
      <c r="GH313" s="5"/>
      <c r="GI313" s="5"/>
      <c r="GJ313" s="5"/>
      <c r="GK313" s="5"/>
      <c r="GL313" s="5"/>
      <c r="GM313" s="5"/>
      <c r="GN313" s="5"/>
      <c r="GO313" s="5"/>
      <c r="GP313" s="5"/>
      <c r="GQ313" s="5"/>
      <c r="GR313" s="5"/>
      <c r="GS313" s="5"/>
      <c r="GT313" s="5"/>
      <c r="GU313" s="5"/>
      <c r="GV313" s="5"/>
      <c r="GW313" s="5"/>
      <c r="GX313" s="5"/>
      <c r="GY313" s="5"/>
      <c r="GZ313" s="5"/>
      <c r="HA313" s="5"/>
      <c r="HB313" s="5"/>
      <c r="HC313" s="5"/>
      <c r="HD313" s="5"/>
      <c r="HE313" s="5"/>
      <c r="HF313" s="5"/>
      <c r="HG313" s="5"/>
      <c r="HH313" s="5"/>
      <c r="HI313" s="5"/>
      <c r="HJ313" s="5"/>
      <c r="HK313" s="5"/>
      <c r="HL313" s="5"/>
      <c r="HM313" s="5"/>
      <c r="HN313" s="5"/>
      <c r="HO313" s="5"/>
      <c r="HP313" s="5"/>
      <c r="HQ313" s="5"/>
      <c r="HR313" s="5"/>
      <c r="HS313" s="5"/>
      <c r="HT313" s="5"/>
      <c r="HU313" s="5"/>
      <c r="HV313" s="5"/>
      <c r="HW313" s="5"/>
      <c r="HX313" s="5"/>
      <c r="HY313" s="5"/>
      <c r="HZ313" s="5"/>
      <c r="IA313" s="5"/>
      <c r="IB313" s="5"/>
      <c r="IC313" s="5"/>
      <c r="ID313" s="5"/>
    </row>
    <row r="314" spans="1:239" customHeight="1" ht="13.2"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  <c r="CG314" s="5"/>
      <c r="CH314" s="5"/>
      <c r="CI314" s="5"/>
      <c r="CJ314" s="5"/>
      <c r="CK314" s="5"/>
      <c r="CL314" s="5"/>
      <c r="CM314" s="5"/>
      <c r="CN314" s="5"/>
      <c r="CO314" s="5"/>
      <c r="CP314" s="5"/>
      <c r="CQ314" s="5"/>
      <c r="CR314" s="5"/>
      <c r="CS314" s="5"/>
      <c r="CT314" s="5"/>
      <c r="CU314" s="5"/>
      <c r="CV314" s="5"/>
      <c r="CW314" s="5"/>
      <c r="CX314" s="5"/>
      <c r="CY314" s="5"/>
      <c r="CZ314" s="5"/>
      <c r="DA314" s="5"/>
      <c r="DB314" s="5"/>
      <c r="DC314" s="5"/>
      <c r="DD314" s="5"/>
      <c r="DE314" s="5"/>
      <c r="DF314" s="5"/>
      <c r="DG314" s="5"/>
      <c r="DH314" s="5"/>
      <c r="DI314" s="5"/>
      <c r="DJ314" s="5"/>
      <c r="DK314" s="5"/>
      <c r="DL314" s="5"/>
      <c r="DM314" s="5"/>
      <c r="DN314" s="5"/>
      <c r="DO314" s="5"/>
      <c r="DP314" s="5"/>
      <c r="DQ314" s="5"/>
      <c r="DR314" s="5"/>
      <c r="DS314" s="5"/>
      <c r="DT314" s="5"/>
      <c r="DU314" s="5"/>
      <c r="DV314" s="5"/>
      <c r="DW314" s="5"/>
      <c r="DX314" s="5"/>
      <c r="DY314" s="5"/>
      <c r="DZ314" s="5"/>
      <c r="EA314" s="5"/>
      <c r="EB314" s="5"/>
      <c r="EC314" s="5"/>
      <c r="ED314" s="5"/>
      <c r="EE314" s="5"/>
      <c r="EF314" s="5"/>
      <c r="EG314" s="5"/>
      <c r="EH314" s="5"/>
      <c r="EI314" s="5"/>
      <c r="EJ314" s="5"/>
      <c r="EK314" s="5"/>
      <c r="EL314" s="5"/>
      <c r="EM314" s="5"/>
      <c r="EN314" s="5"/>
      <c r="EO314" s="5"/>
      <c r="EP314" s="5"/>
      <c r="EQ314" s="5"/>
      <c r="ER314" s="5"/>
      <c r="ES314" s="5"/>
      <c r="ET314" s="5"/>
      <c r="EU314" s="5"/>
      <c r="EV314" s="5"/>
      <c r="EW314" s="5"/>
      <c r="EX314" s="5"/>
      <c r="EY314" s="5"/>
      <c r="EZ314" s="5"/>
      <c r="FA314" s="5"/>
      <c r="FB314" s="5"/>
      <c r="FC314" s="5"/>
      <c r="FD314" s="5"/>
      <c r="FE314" s="5"/>
      <c r="FF314" s="5"/>
      <c r="FG314" s="5"/>
      <c r="FH314" s="5"/>
      <c r="FI314" s="5"/>
      <c r="FJ314" s="5"/>
      <c r="FK314" s="5"/>
      <c r="FL314" s="5"/>
      <c r="FM314" s="5"/>
      <c r="FN314" s="5"/>
      <c r="FO314" s="5"/>
      <c r="FP314" s="5"/>
      <c r="FQ314" s="5"/>
      <c r="FR314" s="5"/>
      <c r="FS314" s="5"/>
      <c r="FT314" s="5"/>
      <c r="FU314" s="5"/>
      <c r="FV314" s="5"/>
      <c r="FW314" s="5"/>
      <c r="FX314" s="5"/>
      <c r="FY314" s="5"/>
      <c r="FZ314" s="5"/>
      <c r="GA314" s="5"/>
      <c r="GB314" s="5"/>
      <c r="GC314" s="5"/>
      <c r="GD314" s="5"/>
      <c r="GE314" s="5"/>
      <c r="GF314" s="5"/>
      <c r="GG314" s="5"/>
      <c r="GH314" s="5"/>
      <c r="GI314" s="5"/>
      <c r="GJ314" s="5"/>
      <c r="GK314" s="5"/>
      <c r="GL314" s="5"/>
      <c r="GM314" s="5"/>
      <c r="GN314" s="5"/>
      <c r="GO314" s="5"/>
      <c r="GP314" s="5"/>
      <c r="GQ314" s="5"/>
      <c r="GR314" s="5"/>
      <c r="GS314" s="5"/>
      <c r="GT314" s="5"/>
      <c r="GU314" s="5"/>
      <c r="GV314" s="5"/>
      <c r="GW314" s="5"/>
      <c r="GX314" s="5"/>
      <c r="GY314" s="5"/>
      <c r="GZ314" s="5"/>
      <c r="HA314" s="5"/>
      <c r="HB314" s="5"/>
      <c r="HC314" s="5"/>
      <c r="HD314" s="5"/>
      <c r="HE314" s="5"/>
      <c r="HF314" s="5"/>
      <c r="HG314" s="5"/>
      <c r="HH314" s="5"/>
      <c r="HI314" s="5"/>
      <c r="HJ314" s="5"/>
      <c r="HK314" s="5"/>
      <c r="HL314" s="5"/>
      <c r="HM314" s="5"/>
      <c r="HN314" s="5"/>
      <c r="HO314" s="5"/>
      <c r="HP314" s="5"/>
      <c r="HQ314" s="5"/>
      <c r="HR314" s="5"/>
      <c r="HS314" s="5"/>
      <c r="HT314" s="5"/>
      <c r="HU314" s="5"/>
      <c r="HV314" s="5"/>
      <c r="HW314" s="5"/>
      <c r="HX314" s="5"/>
      <c r="HY314" s="5"/>
      <c r="HZ314" s="5"/>
      <c r="IA314" s="5"/>
      <c r="IB314" s="5"/>
      <c r="IC314" s="5"/>
      <c r="ID314" s="5"/>
    </row>
    <row r="315" spans="1:239" customHeight="1" ht="13.2"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/>
      <c r="CC315" s="5"/>
      <c r="CD315" s="5"/>
      <c r="CE315" s="5"/>
      <c r="CF315" s="5"/>
      <c r="CG315" s="5"/>
      <c r="CH315" s="5"/>
      <c r="CI315" s="5"/>
      <c r="CJ315" s="5"/>
      <c r="CK315" s="5"/>
      <c r="CL315" s="5"/>
      <c r="CM315" s="5"/>
      <c r="CN315" s="5"/>
      <c r="CO315" s="5"/>
      <c r="CP315" s="5"/>
      <c r="CQ315" s="5"/>
      <c r="CR315" s="5"/>
      <c r="CS315" s="5"/>
      <c r="CT315" s="5"/>
      <c r="CU315" s="5"/>
      <c r="CV315" s="5"/>
      <c r="CW315" s="5"/>
      <c r="CX315" s="5"/>
      <c r="CY315" s="5"/>
      <c r="CZ315" s="5"/>
      <c r="DA315" s="5"/>
      <c r="DB315" s="5"/>
      <c r="DC315" s="5"/>
      <c r="DD315" s="5"/>
      <c r="DE315" s="5"/>
      <c r="DF315" s="5"/>
      <c r="DG315" s="5"/>
      <c r="DH315" s="5"/>
      <c r="DI315" s="5"/>
      <c r="DJ315" s="5"/>
      <c r="DK315" s="5"/>
      <c r="DL315" s="5"/>
      <c r="DM315" s="5"/>
      <c r="DN315" s="5"/>
      <c r="DO315" s="5"/>
      <c r="DP315" s="5"/>
      <c r="DQ315" s="5"/>
      <c r="DR315" s="5"/>
      <c r="DS315" s="5"/>
      <c r="DT315" s="5"/>
      <c r="DU315" s="5"/>
      <c r="DV315" s="5"/>
      <c r="DW315" s="5"/>
      <c r="DX315" s="5"/>
      <c r="DY315" s="5"/>
      <c r="DZ315" s="5"/>
      <c r="EA315" s="5"/>
      <c r="EB315" s="5"/>
      <c r="EC315" s="5"/>
      <c r="ED315" s="5"/>
      <c r="EE315" s="5"/>
      <c r="EF315" s="5"/>
      <c r="EG315" s="5"/>
      <c r="EH315" s="5"/>
      <c r="EI315" s="5"/>
      <c r="EJ315" s="5"/>
      <c r="EK315" s="5"/>
      <c r="EL315" s="5"/>
      <c r="EM315" s="5"/>
      <c r="EN315" s="5"/>
      <c r="EO315" s="5"/>
      <c r="EP315" s="5"/>
      <c r="EQ315" s="5"/>
      <c r="ER315" s="5"/>
      <c r="ES315" s="5"/>
      <c r="ET315" s="5"/>
      <c r="EU315" s="5"/>
      <c r="EV315" s="5"/>
      <c r="EW315" s="5"/>
      <c r="EX315" s="5"/>
      <c r="EY315" s="5"/>
      <c r="EZ315" s="5"/>
      <c r="FA315" s="5"/>
      <c r="FB315" s="5"/>
      <c r="FC315" s="5"/>
      <c r="FD315" s="5"/>
      <c r="FE315" s="5"/>
      <c r="FF315" s="5"/>
      <c r="FG315" s="5"/>
      <c r="FH315" s="5"/>
      <c r="FI315" s="5"/>
      <c r="FJ315" s="5"/>
      <c r="FK315" s="5"/>
      <c r="FL315" s="5"/>
      <c r="FM315" s="5"/>
      <c r="FN315" s="5"/>
      <c r="FO315" s="5"/>
      <c r="FP315" s="5"/>
      <c r="FQ315" s="5"/>
      <c r="FR315" s="5"/>
      <c r="FS315" s="5"/>
      <c r="FT315" s="5"/>
      <c r="FU315" s="5"/>
      <c r="FV315" s="5"/>
      <c r="FW315" s="5"/>
      <c r="FX315" s="5"/>
      <c r="FY315" s="5"/>
      <c r="FZ315" s="5"/>
      <c r="GA315" s="5"/>
      <c r="GB315" s="5"/>
      <c r="GC315" s="5"/>
      <c r="GD315" s="5"/>
      <c r="GE315" s="5"/>
      <c r="GF315" s="5"/>
      <c r="GG315" s="5"/>
      <c r="GH315" s="5"/>
      <c r="GI315" s="5"/>
      <c r="GJ315" s="5"/>
      <c r="GK315" s="5"/>
      <c r="GL315" s="5"/>
      <c r="GM315" s="5"/>
      <c r="GN315" s="5"/>
      <c r="GO315" s="5"/>
      <c r="GP315" s="5"/>
      <c r="GQ315" s="5"/>
      <c r="GR315" s="5"/>
      <c r="GS315" s="5"/>
      <c r="GT315" s="5"/>
      <c r="GU315" s="5"/>
      <c r="GV315" s="5"/>
      <c r="GW315" s="5"/>
      <c r="GX315" s="5"/>
      <c r="GY315" s="5"/>
      <c r="GZ315" s="5"/>
      <c r="HA315" s="5"/>
      <c r="HB315" s="5"/>
      <c r="HC315" s="5"/>
      <c r="HD315" s="5"/>
      <c r="HE315" s="5"/>
      <c r="HF315" s="5"/>
      <c r="HG315" s="5"/>
      <c r="HH315" s="5"/>
      <c r="HI315" s="5"/>
      <c r="HJ315" s="5"/>
      <c r="HK315" s="5"/>
      <c r="HL315" s="5"/>
      <c r="HM315" s="5"/>
      <c r="HN315" s="5"/>
      <c r="HO315" s="5"/>
      <c r="HP315" s="5"/>
      <c r="HQ315" s="5"/>
      <c r="HR315" s="5"/>
      <c r="HS315" s="5"/>
      <c r="HT315" s="5"/>
      <c r="HU315" s="5"/>
      <c r="HV315" s="5"/>
      <c r="HW315" s="5"/>
      <c r="HX315" s="5"/>
      <c r="HY315" s="5"/>
      <c r="HZ315" s="5"/>
      <c r="IA315" s="5"/>
      <c r="IB315" s="5"/>
      <c r="IC315" s="5"/>
      <c r="ID315" s="5"/>
    </row>
    <row r="316" spans="1:239" customHeight="1" ht="13.2"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  <c r="CG316" s="5"/>
      <c r="CH316" s="5"/>
      <c r="CI316" s="5"/>
      <c r="CJ316" s="5"/>
      <c r="CK316" s="5"/>
      <c r="CL316" s="5"/>
      <c r="CM316" s="5"/>
      <c r="CN316" s="5"/>
      <c r="CO316" s="5"/>
      <c r="CP316" s="5"/>
      <c r="CQ316" s="5"/>
      <c r="CR316" s="5"/>
      <c r="CS316" s="5"/>
      <c r="CT316" s="5"/>
      <c r="CU316" s="5"/>
      <c r="CV316" s="5"/>
      <c r="CW316" s="5"/>
      <c r="CX316" s="5"/>
      <c r="CY316" s="5"/>
      <c r="CZ316" s="5"/>
      <c r="DA316" s="5"/>
      <c r="DB316" s="5"/>
      <c r="DC316" s="5"/>
      <c r="DD316" s="5"/>
      <c r="DE316" s="5"/>
      <c r="DF316" s="5"/>
      <c r="DG316" s="5"/>
      <c r="DH316" s="5"/>
      <c r="DI316" s="5"/>
      <c r="DJ316" s="5"/>
      <c r="DK316" s="5"/>
      <c r="DL316" s="5"/>
      <c r="DM316" s="5"/>
      <c r="DN316" s="5"/>
      <c r="DO316" s="5"/>
      <c r="DP316" s="5"/>
      <c r="DQ316" s="5"/>
      <c r="DR316" s="5"/>
      <c r="DS316" s="5"/>
      <c r="DT316" s="5"/>
      <c r="DU316" s="5"/>
      <c r="DV316" s="5"/>
      <c r="DW316" s="5"/>
      <c r="DX316" s="5"/>
      <c r="DY316" s="5"/>
      <c r="DZ316" s="5"/>
      <c r="EA316" s="5"/>
      <c r="EB316" s="5"/>
      <c r="EC316" s="5"/>
      <c r="ED316" s="5"/>
      <c r="EE316" s="5"/>
      <c r="EF316" s="5"/>
      <c r="EG316" s="5"/>
      <c r="EH316" s="5"/>
      <c r="EI316" s="5"/>
      <c r="EJ316" s="5"/>
      <c r="EK316" s="5"/>
      <c r="EL316" s="5"/>
      <c r="EM316" s="5"/>
      <c r="EN316" s="5"/>
      <c r="EO316" s="5"/>
      <c r="EP316" s="5"/>
      <c r="EQ316" s="5"/>
      <c r="ER316" s="5"/>
      <c r="ES316" s="5"/>
      <c r="ET316" s="5"/>
      <c r="EU316" s="5"/>
      <c r="EV316" s="5"/>
      <c r="EW316" s="5"/>
      <c r="EX316" s="5"/>
      <c r="EY316" s="5"/>
      <c r="EZ316" s="5"/>
      <c r="FA316" s="5"/>
      <c r="FB316" s="5"/>
      <c r="FC316" s="5"/>
      <c r="FD316" s="5"/>
      <c r="FE316" s="5"/>
      <c r="FF316" s="5"/>
      <c r="FG316" s="5"/>
      <c r="FH316" s="5"/>
      <c r="FI316" s="5"/>
      <c r="FJ316" s="5"/>
      <c r="FK316" s="5"/>
      <c r="FL316" s="5"/>
      <c r="FM316" s="5"/>
      <c r="FN316" s="5"/>
      <c r="FO316" s="5"/>
      <c r="FP316" s="5"/>
      <c r="FQ316" s="5"/>
      <c r="FR316" s="5"/>
      <c r="FS316" s="5"/>
      <c r="FT316" s="5"/>
      <c r="FU316" s="5"/>
      <c r="FV316" s="5"/>
      <c r="FW316" s="5"/>
      <c r="FX316" s="5"/>
      <c r="FY316" s="5"/>
      <c r="FZ316" s="5"/>
      <c r="GA316" s="5"/>
      <c r="GB316" s="5"/>
      <c r="GC316" s="5"/>
      <c r="GD316" s="5"/>
      <c r="GE316" s="5"/>
      <c r="GF316" s="5"/>
      <c r="GG316" s="5"/>
      <c r="GH316" s="5"/>
      <c r="GI316" s="5"/>
      <c r="GJ316" s="5"/>
      <c r="GK316" s="5"/>
      <c r="GL316" s="5"/>
      <c r="GM316" s="5"/>
      <c r="GN316" s="5"/>
      <c r="GO316" s="5"/>
      <c r="GP316" s="5"/>
      <c r="GQ316" s="5"/>
      <c r="GR316" s="5"/>
      <c r="GS316" s="5"/>
      <c r="GT316" s="5"/>
      <c r="GU316" s="5"/>
      <c r="GV316" s="5"/>
      <c r="GW316" s="5"/>
      <c r="GX316" s="5"/>
      <c r="GY316" s="5"/>
      <c r="GZ316" s="5"/>
      <c r="HA316" s="5"/>
      <c r="HB316" s="5"/>
      <c r="HC316" s="5"/>
      <c r="HD316" s="5"/>
      <c r="HE316" s="5"/>
      <c r="HF316" s="5"/>
      <c r="HG316" s="5"/>
      <c r="HH316" s="5"/>
      <c r="HI316" s="5"/>
      <c r="HJ316" s="5"/>
      <c r="HK316" s="5"/>
      <c r="HL316" s="5"/>
      <c r="HM316" s="5"/>
      <c r="HN316" s="5"/>
      <c r="HO316" s="5"/>
      <c r="HP316" s="5"/>
      <c r="HQ316" s="5"/>
      <c r="HR316" s="5"/>
      <c r="HS316" s="5"/>
      <c r="HT316" s="5"/>
      <c r="HU316" s="5"/>
      <c r="HV316" s="5"/>
      <c r="HW316" s="5"/>
      <c r="HX316" s="5"/>
      <c r="HY316" s="5"/>
      <c r="HZ316" s="5"/>
      <c r="IA316" s="5"/>
      <c r="IB316" s="5"/>
      <c r="IC316" s="5"/>
      <c r="ID316" s="5"/>
    </row>
    <row r="317" spans="1:239" customHeight="1" ht="13.2"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  <c r="CG317" s="5"/>
      <c r="CH317" s="5"/>
      <c r="CI317" s="5"/>
      <c r="CJ317" s="5"/>
      <c r="CK317" s="5"/>
      <c r="CL317" s="5"/>
      <c r="CM317" s="5"/>
      <c r="CN317" s="5"/>
      <c r="CO317" s="5"/>
      <c r="CP317" s="5"/>
      <c r="CQ317" s="5"/>
      <c r="CR317" s="5"/>
      <c r="CS317" s="5"/>
      <c r="CT317" s="5"/>
      <c r="CU317" s="5"/>
      <c r="CV317" s="5"/>
      <c r="CW317" s="5"/>
      <c r="CX317" s="5"/>
      <c r="CY317" s="5"/>
      <c r="CZ317" s="5"/>
      <c r="DA317" s="5"/>
      <c r="DB317" s="5"/>
      <c r="DC317" s="5"/>
      <c r="DD317" s="5"/>
      <c r="DE317" s="5"/>
      <c r="DF317" s="5"/>
      <c r="DG317" s="5"/>
      <c r="DH317" s="5"/>
      <c r="DI317" s="5"/>
      <c r="DJ317" s="5"/>
      <c r="DK317" s="5"/>
      <c r="DL317" s="5"/>
      <c r="DM317" s="5"/>
      <c r="DN317" s="5"/>
      <c r="DO317" s="5"/>
      <c r="DP317" s="5"/>
      <c r="DQ317" s="5"/>
      <c r="DR317" s="5"/>
      <c r="DS317" s="5"/>
      <c r="DT317" s="5"/>
      <c r="DU317" s="5"/>
      <c r="DV317" s="5"/>
      <c r="DW317" s="5"/>
      <c r="DX317" s="5"/>
      <c r="DY317" s="5"/>
      <c r="DZ317" s="5"/>
      <c r="EA317" s="5"/>
      <c r="EB317" s="5"/>
      <c r="EC317" s="5"/>
      <c r="ED317" s="5"/>
      <c r="EE317" s="5"/>
      <c r="EF317" s="5"/>
      <c r="EG317" s="5"/>
      <c r="EH317" s="5"/>
      <c r="EI317" s="5"/>
      <c r="EJ317" s="5"/>
      <c r="EK317" s="5"/>
      <c r="EL317" s="5"/>
      <c r="EM317" s="5"/>
      <c r="EN317" s="5"/>
      <c r="EO317" s="5"/>
      <c r="EP317" s="5"/>
      <c r="EQ317" s="5"/>
      <c r="ER317" s="5"/>
      <c r="ES317" s="5"/>
      <c r="ET317" s="5"/>
      <c r="EU317" s="5"/>
      <c r="EV317" s="5"/>
      <c r="EW317" s="5"/>
      <c r="EX317" s="5"/>
      <c r="EY317" s="5"/>
      <c r="EZ317" s="5"/>
      <c r="FA317" s="5"/>
      <c r="FB317" s="5"/>
      <c r="FC317" s="5"/>
      <c r="FD317" s="5"/>
      <c r="FE317" s="5"/>
      <c r="FF317" s="5"/>
      <c r="FG317" s="5"/>
      <c r="FH317" s="5"/>
      <c r="FI317" s="5"/>
      <c r="FJ317" s="5"/>
      <c r="FK317" s="5"/>
      <c r="FL317" s="5"/>
      <c r="FM317" s="5"/>
      <c r="FN317" s="5"/>
      <c r="FO317" s="5"/>
      <c r="FP317" s="5"/>
      <c r="FQ317" s="5"/>
      <c r="FR317" s="5"/>
      <c r="FS317" s="5"/>
      <c r="FT317" s="5"/>
      <c r="FU317" s="5"/>
      <c r="FV317" s="5"/>
      <c r="FW317" s="5"/>
      <c r="FX317" s="5"/>
      <c r="FY317" s="5"/>
      <c r="FZ317" s="5"/>
      <c r="GA317" s="5"/>
      <c r="GB317" s="5"/>
      <c r="GC317" s="5"/>
      <c r="GD317" s="5"/>
      <c r="GE317" s="5"/>
      <c r="GF317" s="5"/>
      <c r="GG317" s="5"/>
      <c r="GH317" s="5"/>
      <c r="GI317" s="5"/>
      <c r="GJ317" s="5"/>
      <c r="GK317" s="5"/>
      <c r="GL317" s="5"/>
      <c r="GM317" s="5"/>
      <c r="GN317" s="5"/>
      <c r="GO317" s="5"/>
      <c r="GP317" s="5"/>
      <c r="GQ317" s="5"/>
      <c r="GR317" s="5"/>
      <c r="GS317" s="5"/>
      <c r="GT317" s="5"/>
      <c r="GU317" s="5"/>
      <c r="GV317" s="5"/>
      <c r="GW317" s="5"/>
      <c r="GX317" s="5"/>
      <c r="GY317" s="5"/>
      <c r="GZ317" s="5"/>
      <c r="HA317" s="5"/>
      <c r="HB317" s="5"/>
      <c r="HC317" s="5"/>
      <c r="HD317" s="5"/>
      <c r="HE317" s="5"/>
      <c r="HF317" s="5"/>
      <c r="HG317" s="5"/>
      <c r="HH317" s="5"/>
      <c r="HI317" s="5"/>
      <c r="HJ317" s="5"/>
      <c r="HK317" s="5"/>
      <c r="HL317" s="5"/>
      <c r="HM317" s="5"/>
      <c r="HN317" s="5"/>
      <c r="HO317" s="5"/>
      <c r="HP317" s="5"/>
      <c r="HQ317" s="5"/>
      <c r="HR317" s="5"/>
      <c r="HS317" s="5"/>
      <c r="HT317" s="5"/>
      <c r="HU317" s="5"/>
      <c r="HV317" s="5"/>
      <c r="HW317" s="5"/>
      <c r="HX317" s="5"/>
      <c r="HY317" s="5"/>
      <c r="HZ317" s="5"/>
      <c r="IA317" s="5"/>
      <c r="IB317" s="5"/>
      <c r="IC317" s="5"/>
      <c r="ID317" s="5"/>
    </row>
    <row r="318" spans="1:239" customHeight="1" ht="13.2"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  <c r="CE318" s="5"/>
      <c r="CF318" s="5"/>
      <c r="CG318" s="5"/>
      <c r="CH318" s="5"/>
      <c r="CI318" s="5"/>
      <c r="CJ318" s="5"/>
      <c r="CK318" s="5"/>
      <c r="CL318" s="5"/>
      <c r="CM318" s="5"/>
      <c r="CN318" s="5"/>
      <c r="CO318" s="5"/>
      <c r="CP318" s="5"/>
      <c r="CQ318" s="5"/>
      <c r="CR318" s="5"/>
      <c r="CS318" s="5"/>
      <c r="CT318" s="5"/>
      <c r="CU318" s="5"/>
      <c r="CV318" s="5"/>
      <c r="CW318" s="5"/>
      <c r="CX318" s="5"/>
      <c r="CY318" s="5"/>
      <c r="CZ318" s="5"/>
      <c r="DA318" s="5"/>
      <c r="DB318" s="5"/>
      <c r="DC318" s="5"/>
      <c r="DD318" s="5"/>
      <c r="DE318" s="5"/>
      <c r="DF318" s="5"/>
      <c r="DG318" s="5"/>
      <c r="DH318" s="5"/>
      <c r="DI318" s="5"/>
      <c r="DJ318" s="5"/>
      <c r="DK318" s="5"/>
      <c r="DL318" s="5"/>
      <c r="DM318" s="5"/>
      <c r="DN318" s="5"/>
      <c r="DO318" s="5"/>
      <c r="DP318" s="5"/>
      <c r="DQ318" s="5"/>
      <c r="DR318" s="5"/>
      <c r="DS318" s="5"/>
      <c r="DT318" s="5"/>
      <c r="DU318" s="5"/>
      <c r="DV318" s="5"/>
      <c r="DW318" s="5"/>
      <c r="DX318" s="5"/>
      <c r="DY318" s="5"/>
      <c r="DZ318" s="5"/>
      <c r="EA318" s="5"/>
      <c r="EB318" s="5"/>
      <c r="EC318" s="5"/>
      <c r="ED318" s="5"/>
      <c r="EE318" s="5"/>
      <c r="EF318" s="5"/>
      <c r="EG318" s="5"/>
      <c r="EH318" s="5"/>
      <c r="EI318" s="5"/>
      <c r="EJ318" s="5"/>
      <c r="EK318" s="5"/>
      <c r="EL318" s="5"/>
      <c r="EM318" s="5"/>
      <c r="EN318" s="5"/>
      <c r="EO318" s="5"/>
      <c r="EP318" s="5"/>
      <c r="EQ318" s="5"/>
      <c r="ER318" s="5"/>
      <c r="ES318" s="5"/>
      <c r="ET318" s="5"/>
      <c r="EU318" s="5"/>
      <c r="EV318" s="5"/>
      <c r="EW318" s="5"/>
      <c r="EX318" s="5"/>
      <c r="EY318" s="5"/>
      <c r="EZ318" s="5"/>
      <c r="FA318" s="5"/>
      <c r="FB318" s="5"/>
      <c r="FC318" s="5"/>
      <c r="FD318" s="5"/>
      <c r="FE318" s="5"/>
      <c r="FF318" s="5"/>
      <c r="FG318" s="5"/>
      <c r="FH318" s="5"/>
      <c r="FI318" s="5"/>
      <c r="FJ318" s="5"/>
      <c r="FK318" s="5"/>
      <c r="FL318" s="5"/>
      <c r="FM318" s="5"/>
      <c r="FN318" s="5"/>
      <c r="FO318" s="5"/>
      <c r="FP318" s="5"/>
      <c r="FQ318" s="5"/>
      <c r="FR318" s="5"/>
      <c r="FS318" s="5"/>
      <c r="FT318" s="5"/>
      <c r="FU318" s="5"/>
      <c r="FV318" s="5"/>
      <c r="FW318" s="5"/>
      <c r="FX318" s="5"/>
      <c r="FY318" s="5"/>
      <c r="FZ318" s="5"/>
      <c r="GA318" s="5"/>
      <c r="GB318" s="5"/>
      <c r="GC318" s="5"/>
      <c r="GD318" s="5"/>
      <c r="GE318" s="5"/>
      <c r="GF318" s="5"/>
      <c r="GG318" s="5"/>
      <c r="GH318" s="5"/>
      <c r="GI318" s="5"/>
      <c r="GJ318" s="5"/>
      <c r="GK318" s="5"/>
      <c r="GL318" s="5"/>
      <c r="GM318" s="5"/>
      <c r="GN318" s="5"/>
      <c r="GO318" s="5"/>
      <c r="GP318" s="5"/>
      <c r="GQ318" s="5"/>
      <c r="GR318" s="5"/>
      <c r="GS318" s="5"/>
      <c r="GT318" s="5"/>
      <c r="GU318" s="5"/>
      <c r="GV318" s="5"/>
      <c r="GW318" s="5"/>
      <c r="GX318" s="5"/>
      <c r="GY318" s="5"/>
      <c r="GZ318" s="5"/>
      <c r="HA318" s="5"/>
      <c r="HB318" s="5"/>
      <c r="HC318" s="5"/>
      <c r="HD318" s="5"/>
      <c r="HE318" s="5"/>
      <c r="HF318" s="5"/>
      <c r="HG318" s="5"/>
      <c r="HH318" s="5"/>
      <c r="HI318" s="5"/>
      <c r="HJ318" s="5"/>
      <c r="HK318" s="5"/>
      <c r="HL318" s="5"/>
      <c r="HM318" s="5"/>
      <c r="HN318" s="5"/>
      <c r="HO318" s="5"/>
      <c r="HP318" s="5"/>
      <c r="HQ318" s="5"/>
      <c r="HR318" s="5"/>
      <c r="HS318" s="5"/>
      <c r="HT318" s="5"/>
      <c r="HU318" s="5"/>
      <c r="HV318" s="5"/>
      <c r="HW318" s="5"/>
      <c r="HX318" s="5"/>
      <c r="HY318" s="5"/>
      <c r="HZ318" s="5"/>
      <c r="IA318" s="5"/>
      <c r="IB318" s="5"/>
      <c r="IC318" s="5"/>
      <c r="ID318" s="5"/>
    </row>
    <row r="319" spans="1:239" customHeight="1" ht="13.2"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/>
      <c r="BZ319" s="5"/>
      <c r="CA319" s="5"/>
      <c r="CB319" s="5"/>
      <c r="CC319" s="5"/>
      <c r="CD319" s="5"/>
      <c r="CE319" s="5"/>
      <c r="CF319" s="5"/>
      <c r="CG319" s="5"/>
      <c r="CH319" s="5"/>
      <c r="CI319" s="5"/>
      <c r="CJ319" s="5"/>
      <c r="CK319" s="5"/>
      <c r="CL319" s="5"/>
      <c r="CM319" s="5"/>
      <c r="CN319" s="5"/>
      <c r="CO319" s="5"/>
      <c r="CP319" s="5"/>
      <c r="CQ319" s="5"/>
      <c r="CR319" s="5"/>
      <c r="CS319" s="5"/>
      <c r="CT319" s="5"/>
      <c r="CU319" s="5"/>
      <c r="CV319" s="5"/>
      <c r="CW319" s="5"/>
      <c r="CX319" s="5"/>
      <c r="CY319" s="5"/>
      <c r="CZ319" s="5"/>
      <c r="DA319" s="5"/>
      <c r="DB319" s="5"/>
      <c r="DC319" s="5"/>
      <c r="DD319" s="5"/>
      <c r="DE319" s="5"/>
      <c r="DF319" s="5"/>
      <c r="DG319" s="5"/>
      <c r="DH319" s="5"/>
      <c r="DI319" s="5"/>
      <c r="DJ319" s="5"/>
      <c r="DK319" s="5"/>
      <c r="DL319" s="5"/>
      <c r="DM319" s="5"/>
      <c r="DN319" s="5"/>
      <c r="DO319" s="5"/>
      <c r="DP319" s="5"/>
      <c r="DQ319" s="5"/>
      <c r="DR319" s="5"/>
      <c r="DS319" s="5"/>
      <c r="DT319" s="5"/>
      <c r="DU319" s="5"/>
      <c r="DV319" s="5"/>
      <c r="DW319" s="5"/>
      <c r="DX319" s="5"/>
      <c r="DY319" s="5"/>
      <c r="DZ319" s="5"/>
      <c r="EA319" s="5"/>
      <c r="EB319" s="5"/>
      <c r="EC319" s="5"/>
      <c r="ED319" s="5"/>
      <c r="EE319" s="5"/>
      <c r="EF319" s="5"/>
      <c r="EG319" s="5"/>
      <c r="EH319" s="5"/>
      <c r="EI319" s="5"/>
      <c r="EJ319" s="5"/>
      <c r="EK319" s="5"/>
      <c r="EL319" s="5"/>
      <c r="EM319" s="5"/>
      <c r="EN319" s="5"/>
      <c r="EO319" s="5"/>
      <c r="EP319" s="5"/>
      <c r="EQ319" s="5"/>
      <c r="ER319" s="5"/>
      <c r="ES319" s="5"/>
      <c r="ET319" s="5"/>
      <c r="EU319" s="5"/>
      <c r="EV319" s="5"/>
      <c r="EW319" s="5"/>
      <c r="EX319" s="5"/>
      <c r="EY319" s="5"/>
      <c r="EZ319" s="5"/>
      <c r="FA319" s="5"/>
      <c r="FB319" s="5"/>
      <c r="FC319" s="5"/>
      <c r="FD319" s="5"/>
      <c r="FE319" s="5"/>
      <c r="FF319" s="5"/>
      <c r="FG319" s="5"/>
      <c r="FH319" s="5"/>
      <c r="FI319" s="5"/>
      <c r="FJ319" s="5"/>
      <c r="FK319" s="5"/>
      <c r="FL319" s="5"/>
      <c r="FM319" s="5"/>
      <c r="FN319" s="5"/>
      <c r="FO319" s="5"/>
      <c r="FP319" s="5"/>
      <c r="FQ319" s="5"/>
      <c r="FR319" s="5"/>
      <c r="FS319" s="5"/>
      <c r="FT319" s="5"/>
      <c r="FU319" s="5"/>
      <c r="FV319" s="5"/>
      <c r="FW319" s="5"/>
      <c r="FX319" s="5"/>
      <c r="FY319" s="5"/>
      <c r="FZ319" s="5"/>
      <c r="GA319" s="5"/>
      <c r="GB319" s="5"/>
      <c r="GC319" s="5"/>
      <c r="GD319" s="5"/>
      <c r="GE319" s="5"/>
      <c r="GF319" s="5"/>
      <c r="GG319" s="5"/>
      <c r="GH319" s="5"/>
      <c r="GI319" s="5"/>
      <c r="GJ319" s="5"/>
      <c r="GK319" s="5"/>
      <c r="GL319" s="5"/>
      <c r="GM319" s="5"/>
      <c r="GN319" s="5"/>
      <c r="GO319" s="5"/>
      <c r="GP319" s="5"/>
      <c r="GQ319" s="5"/>
      <c r="GR319" s="5"/>
      <c r="GS319" s="5"/>
      <c r="GT319" s="5"/>
      <c r="GU319" s="5"/>
      <c r="GV319" s="5"/>
      <c r="GW319" s="5"/>
      <c r="GX319" s="5"/>
      <c r="GY319" s="5"/>
      <c r="GZ319" s="5"/>
      <c r="HA319" s="5"/>
      <c r="HB319" s="5"/>
      <c r="HC319" s="5"/>
      <c r="HD319" s="5"/>
      <c r="HE319" s="5"/>
      <c r="HF319" s="5"/>
      <c r="HG319" s="5"/>
      <c r="HH319" s="5"/>
      <c r="HI319" s="5"/>
      <c r="HJ319" s="5"/>
      <c r="HK319" s="5"/>
      <c r="HL319" s="5"/>
      <c r="HM319" s="5"/>
      <c r="HN319" s="5"/>
      <c r="HO319" s="5"/>
      <c r="HP319" s="5"/>
      <c r="HQ319" s="5"/>
      <c r="HR319" s="5"/>
      <c r="HS319" s="5"/>
      <c r="HT319" s="5"/>
      <c r="HU319" s="5"/>
      <c r="HV319" s="5"/>
      <c r="HW319" s="5"/>
      <c r="HX319" s="5"/>
      <c r="HY319" s="5"/>
      <c r="HZ319" s="5"/>
      <c r="IA319" s="5"/>
      <c r="IB319" s="5"/>
      <c r="IC319" s="5"/>
      <c r="ID319" s="5"/>
    </row>
    <row r="320" spans="1:239" customHeight="1" ht="13.2"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  <c r="BZ320" s="5"/>
      <c r="CA320" s="5"/>
      <c r="CB320" s="5"/>
      <c r="CC320" s="5"/>
      <c r="CD320" s="5"/>
      <c r="CE320" s="5"/>
      <c r="CF320" s="5"/>
      <c r="CG320" s="5"/>
      <c r="CH320" s="5"/>
      <c r="CI320" s="5"/>
      <c r="CJ320" s="5"/>
      <c r="CK320" s="5"/>
      <c r="CL320" s="5"/>
      <c r="CM320" s="5"/>
      <c r="CN320" s="5"/>
      <c r="CO320" s="5"/>
      <c r="CP320" s="5"/>
      <c r="CQ320" s="5"/>
      <c r="CR320" s="5"/>
      <c r="CS320" s="5"/>
      <c r="CT320" s="5"/>
      <c r="CU320" s="5"/>
      <c r="CV320" s="5"/>
      <c r="CW320" s="5"/>
      <c r="CX320" s="5"/>
      <c r="CY320" s="5"/>
      <c r="CZ320" s="5"/>
      <c r="DA320" s="5"/>
      <c r="DB320" s="5"/>
      <c r="DC320" s="5"/>
      <c r="DD320" s="5"/>
      <c r="DE320" s="5"/>
      <c r="DF320" s="5"/>
      <c r="DG320" s="5"/>
      <c r="DH320" s="5"/>
      <c r="DI320" s="5"/>
      <c r="DJ320" s="5"/>
      <c r="DK320" s="5"/>
      <c r="DL320" s="5"/>
      <c r="DM320" s="5"/>
      <c r="DN320" s="5"/>
      <c r="DO320" s="5"/>
      <c r="DP320" s="5"/>
      <c r="DQ320" s="5"/>
      <c r="DR320" s="5"/>
      <c r="DS320" s="5"/>
      <c r="DT320" s="5"/>
      <c r="DU320" s="5"/>
      <c r="DV320" s="5"/>
      <c r="DW320" s="5"/>
      <c r="DX320" s="5"/>
      <c r="DY320" s="5"/>
      <c r="DZ320" s="5"/>
      <c r="EA320" s="5"/>
      <c r="EB320" s="5"/>
      <c r="EC320" s="5"/>
      <c r="ED320" s="5"/>
      <c r="EE320" s="5"/>
      <c r="EF320" s="5"/>
      <c r="EG320" s="5"/>
      <c r="EH320" s="5"/>
      <c r="EI320" s="5"/>
      <c r="EJ320" s="5"/>
      <c r="EK320" s="5"/>
      <c r="EL320" s="5"/>
      <c r="EM320" s="5"/>
      <c r="EN320" s="5"/>
      <c r="EO320" s="5"/>
      <c r="EP320" s="5"/>
      <c r="EQ320" s="5"/>
      <c r="ER320" s="5"/>
      <c r="ES320" s="5"/>
      <c r="ET320" s="5"/>
      <c r="EU320" s="5"/>
      <c r="EV320" s="5"/>
      <c r="EW320" s="5"/>
      <c r="EX320" s="5"/>
      <c r="EY320" s="5"/>
      <c r="EZ320" s="5"/>
      <c r="FA320" s="5"/>
      <c r="FB320" s="5"/>
      <c r="FC320" s="5"/>
      <c r="FD320" s="5"/>
      <c r="FE320" s="5"/>
      <c r="FF320" s="5"/>
      <c r="FG320" s="5"/>
      <c r="FH320" s="5"/>
      <c r="FI320" s="5"/>
      <c r="FJ320" s="5"/>
      <c r="FK320" s="5"/>
      <c r="FL320" s="5"/>
      <c r="FM320" s="5"/>
      <c r="FN320" s="5"/>
      <c r="FO320" s="5"/>
      <c r="FP320" s="5"/>
      <c r="FQ320" s="5"/>
      <c r="FR320" s="5"/>
      <c r="FS320" s="5"/>
      <c r="FT320" s="5"/>
      <c r="FU320" s="5"/>
      <c r="FV320" s="5"/>
      <c r="FW320" s="5"/>
      <c r="FX320" s="5"/>
      <c r="FY320" s="5"/>
      <c r="FZ320" s="5"/>
      <c r="GA320" s="5"/>
      <c r="GB320" s="5"/>
      <c r="GC320" s="5"/>
      <c r="GD320" s="5"/>
      <c r="GE320" s="5"/>
      <c r="GF320" s="5"/>
      <c r="GG320" s="5"/>
      <c r="GH320" s="5"/>
      <c r="GI320" s="5"/>
      <c r="GJ320" s="5"/>
      <c r="GK320" s="5"/>
      <c r="GL320" s="5"/>
      <c r="GM320" s="5"/>
      <c r="GN320" s="5"/>
      <c r="GO320" s="5"/>
      <c r="GP320" s="5"/>
      <c r="GQ320" s="5"/>
      <c r="GR320" s="5"/>
      <c r="GS320" s="5"/>
      <c r="GT320" s="5"/>
      <c r="GU320" s="5"/>
      <c r="GV320" s="5"/>
      <c r="GW320" s="5"/>
      <c r="GX320" s="5"/>
      <c r="GY320" s="5"/>
      <c r="GZ320" s="5"/>
      <c r="HA320" s="5"/>
      <c r="HB320" s="5"/>
      <c r="HC320" s="5"/>
      <c r="HD320" s="5"/>
      <c r="HE320" s="5"/>
      <c r="HF320" s="5"/>
      <c r="HG320" s="5"/>
      <c r="HH320" s="5"/>
      <c r="HI320" s="5"/>
      <c r="HJ320" s="5"/>
      <c r="HK320" s="5"/>
      <c r="HL320" s="5"/>
      <c r="HM320" s="5"/>
      <c r="HN320" s="5"/>
      <c r="HO320" s="5"/>
      <c r="HP320" s="5"/>
      <c r="HQ320" s="5"/>
      <c r="HR320" s="5"/>
      <c r="HS320" s="5"/>
      <c r="HT320" s="5"/>
      <c r="HU320" s="5"/>
      <c r="HV320" s="5"/>
      <c r="HW320" s="5"/>
      <c r="HX320" s="5"/>
      <c r="HY320" s="5"/>
      <c r="HZ320" s="5"/>
      <c r="IA320" s="5"/>
      <c r="IB320" s="5"/>
      <c r="IC320" s="5"/>
      <c r="ID320" s="5"/>
    </row>
    <row r="321" spans="1:239" customHeight="1" ht="13.2"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  <c r="CE321" s="5"/>
      <c r="CF321" s="5"/>
      <c r="CG321" s="5"/>
      <c r="CH321" s="5"/>
      <c r="CI321" s="5"/>
      <c r="CJ321" s="5"/>
      <c r="CK321" s="5"/>
      <c r="CL321" s="5"/>
      <c r="CM321" s="5"/>
      <c r="CN321" s="5"/>
      <c r="CO321" s="5"/>
      <c r="CP321" s="5"/>
      <c r="CQ321" s="5"/>
      <c r="CR321" s="5"/>
      <c r="CS321" s="5"/>
      <c r="CT321" s="5"/>
      <c r="CU321" s="5"/>
      <c r="CV321" s="5"/>
      <c r="CW321" s="5"/>
      <c r="CX321" s="5"/>
      <c r="CY321" s="5"/>
      <c r="CZ321" s="5"/>
      <c r="DA321" s="5"/>
      <c r="DB321" s="5"/>
      <c r="DC321" s="5"/>
      <c r="DD321" s="5"/>
      <c r="DE321" s="5"/>
      <c r="DF321" s="5"/>
      <c r="DG321" s="5"/>
      <c r="DH321" s="5"/>
      <c r="DI321" s="5"/>
      <c r="DJ321" s="5"/>
      <c r="DK321" s="5"/>
      <c r="DL321" s="5"/>
      <c r="DM321" s="5"/>
      <c r="DN321" s="5"/>
      <c r="DO321" s="5"/>
      <c r="DP321" s="5"/>
      <c r="DQ321" s="5"/>
      <c r="DR321" s="5"/>
      <c r="DS321" s="5"/>
      <c r="DT321" s="5"/>
      <c r="DU321" s="5"/>
      <c r="DV321" s="5"/>
      <c r="DW321" s="5"/>
      <c r="DX321" s="5"/>
      <c r="DY321" s="5"/>
      <c r="DZ321" s="5"/>
      <c r="EA321" s="5"/>
      <c r="EB321" s="5"/>
      <c r="EC321" s="5"/>
      <c r="ED321" s="5"/>
      <c r="EE321" s="5"/>
      <c r="EF321" s="5"/>
      <c r="EG321" s="5"/>
      <c r="EH321" s="5"/>
      <c r="EI321" s="5"/>
      <c r="EJ321" s="5"/>
      <c r="EK321" s="5"/>
      <c r="EL321" s="5"/>
      <c r="EM321" s="5"/>
      <c r="EN321" s="5"/>
      <c r="EO321" s="5"/>
      <c r="EP321" s="5"/>
      <c r="EQ321" s="5"/>
      <c r="ER321" s="5"/>
      <c r="ES321" s="5"/>
      <c r="ET321" s="5"/>
      <c r="EU321" s="5"/>
      <c r="EV321" s="5"/>
      <c r="EW321" s="5"/>
      <c r="EX321" s="5"/>
      <c r="EY321" s="5"/>
      <c r="EZ321" s="5"/>
      <c r="FA321" s="5"/>
      <c r="FB321" s="5"/>
      <c r="FC321" s="5"/>
      <c r="FD321" s="5"/>
      <c r="FE321" s="5"/>
      <c r="FF321" s="5"/>
      <c r="FG321" s="5"/>
      <c r="FH321" s="5"/>
      <c r="FI321" s="5"/>
      <c r="FJ321" s="5"/>
      <c r="FK321" s="5"/>
      <c r="FL321" s="5"/>
      <c r="FM321" s="5"/>
      <c r="FN321" s="5"/>
      <c r="FO321" s="5"/>
      <c r="FP321" s="5"/>
      <c r="FQ321" s="5"/>
      <c r="FR321" s="5"/>
      <c r="FS321" s="5"/>
      <c r="FT321" s="5"/>
      <c r="FU321" s="5"/>
      <c r="FV321" s="5"/>
      <c r="FW321" s="5"/>
      <c r="FX321" s="5"/>
      <c r="FY321" s="5"/>
      <c r="FZ321" s="5"/>
      <c r="GA321" s="5"/>
      <c r="GB321" s="5"/>
      <c r="GC321" s="5"/>
      <c r="GD321" s="5"/>
      <c r="GE321" s="5"/>
      <c r="GF321" s="5"/>
      <c r="GG321" s="5"/>
      <c r="GH321" s="5"/>
      <c r="GI321" s="5"/>
      <c r="GJ321" s="5"/>
      <c r="GK321" s="5"/>
      <c r="GL321" s="5"/>
      <c r="GM321" s="5"/>
      <c r="GN321" s="5"/>
      <c r="GO321" s="5"/>
      <c r="GP321" s="5"/>
      <c r="GQ321" s="5"/>
      <c r="GR321" s="5"/>
      <c r="GS321" s="5"/>
      <c r="GT321" s="5"/>
      <c r="GU321" s="5"/>
      <c r="GV321" s="5"/>
      <c r="GW321" s="5"/>
      <c r="GX321" s="5"/>
      <c r="GY321" s="5"/>
      <c r="GZ321" s="5"/>
      <c r="HA321" s="5"/>
      <c r="HB321" s="5"/>
      <c r="HC321" s="5"/>
      <c r="HD321" s="5"/>
      <c r="HE321" s="5"/>
      <c r="HF321" s="5"/>
      <c r="HG321" s="5"/>
      <c r="HH321" s="5"/>
      <c r="HI321" s="5"/>
      <c r="HJ321" s="5"/>
      <c r="HK321" s="5"/>
      <c r="HL321" s="5"/>
      <c r="HM321" s="5"/>
      <c r="HN321" s="5"/>
      <c r="HO321" s="5"/>
      <c r="HP321" s="5"/>
      <c r="HQ321" s="5"/>
      <c r="HR321" s="5"/>
      <c r="HS321" s="5"/>
      <c r="HT321" s="5"/>
      <c r="HU321" s="5"/>
      <c r="HV321" s="5"/>
      <c r="HW321" s="5"/>
      <c r="HX321" s="5"/>
      <c r="HY321" s="5"/>
      <c r="HZ321" s="5"/>
      <c r="IA321" s="5"/>
      <c r="IB321" s="5"/>
      <c r="IC321" s="5"/>
      <c r="ID321" s="5"/>
    </row>
    <row r="322" spans="1:239" customHeight="1" ht="13.2"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  <c r="CG322" s="5"/>
      <c r="CH322" s="5"/>
      <c r="CI322" s="5"/>
      <c r="CJ322" s="5"/>
      <c r="CK322" s="5"/>
      <c r="CL322" s="5"/>
      <c r="CM322" s="5"/>
      <c r="CN322" s="5"/>
      <c r="CO322" s="5"/>
      <c r="CP322" s="5"/>
      <c r="CQ322" s="5"/>
      <c r="CR322" s="5"/>
      <c r="CS322" s="5"/>
      <c r="CT322" s="5"/>
      <c r="CU322" s="5"/>
      <c r="CV322" s="5"/>
      <c r="CW322" s="5"/>
      <c r="CX322" s="5"/>
      <c r="CY322" s="5"/>
      <c r="CZ322" s="5"/>
      <c r="DA322" s="5"/>
      <c r="DB322" s="5"/>
      <c r="DC322" s="5"/>
      <c r="DD322" s="5"/>
      <c r="DE322" s="5"/>
      <c r="DF322" s="5"/>
      <c r="DG322" s="5"/>
      <c r="DH322" s="5"/>
      <c r="DI322" s="5"/>
      <c r="DJ322" s="5"/>
      <c r="DK322" s="5"/>
      <c r="DL322" s="5"/>
      <c r="DM322" s="5"/>
      <c r="DN322" s="5"/>
      <c r="DO322" s="5"/>
      <c r="DP322" s="5"/>
      <c r="DQ322" s="5"/>
      <c r="DR322" s="5"/>
      <c r="DS322" s="5"/>
      <c r="DT322" s="5"/>
      <c r="DU322" s="5"/>
      <c r="DV322" s="5"/>
      <c r="DW322" s="5"/>
      <c r="DX322" s="5"/>
      <c r="DY322" s="5"/>
      <c r="DZ322" s="5"/>
      <c r="EA322" s="5"/>
      <c r="EB322" s="5"/>
      <c r="EC322" s="5"/>
      <c r="ED322" s="5"/>
      <c r="EE322" s="5"/>
      <c r="EF322" s="5"/>
      <c r="EG322" s="5"/>
      <c r="EH322" s="5"/>
      <c r="EI322" s="5"/>
      <c r="EJ322" s="5"/>
      <c r="EK322" s="5"/>
      <c r="EL322" s="5"/>
      <c r="EM322" s="5"/>
      <c r="EN322" s="5"/>
      <c r="EO322" s="5"/>
      <c r="EP322" s="5"/>
      <c r="EQ322" s="5"/>
      <c r="ER322" s="5"/>
      <c r="ES322" s="5"/>
      <c r="ET322" s="5"/>
      <c r="EU322" s="5"/>
      <c r="EV322" s="5"/>
      <c r="EW322" s="5"/>
      <c r="EX322" s="5"/>
      <c r="EY322" s="5"/>
      <c r="EZ322" s="5"/>
      <c r="FA322" s="5"/>
      <c r="FB322" s="5"/>
      <c r="FC322" s="5"/>
      <c r="FD322" s="5"/>
      <c r="FE322" s="5"/>
      <c r="FF322" s="5"/>
      <c r="FG322" s="5"/>
      <c r="FH322" s="5"/>
      <c r="FI322" s="5"/>
      <c r="FJ322" s="5"/>
      <c r="FK322" s="5"/>
      <c r="FL322" s="5"/>
      <c r="FM322" s="5"/>
      <c r="FN322" s="5"/>
      <c r="FO322" s="5"/>
      <c r="FP322" s="5"/>
      <c r="FQ322" s="5"/>
      <c r="FR322" s="5"/>
      <c r="FS322" s="5"/>
      <c r="FT322" s="5"/>
      <c r="FU322" s="5"/>
      <c r="FV322" s="5"/>
      <c r="FW322" s="5"/>
      <c r="FX322" s="5"/>
      <c r="FY322" s="5"/>
      <c r="FZ322" s="5"/>
      <c r="GA322" s="5"/>
      <c r="GB322" s="5"/>
      <c r="GC322" s="5"/>
      <c r="GD322" s="5"/>
      <c r="GE322" s="5"/>
      <c r="GF322" s="5"/>
      <c r="GG322" s="5"/>
      <c r="GH322" s="5"/>
      <c r="GI322" s="5"/>
      <c r="GJ322" s="5"/>
      <c r="GK322" s="5"/>
      <c r="GL322" s="5"/>
      <c r="GM322" s="5"/>
      <c r="GN322" s="5"/>
      <c r="GO322" s="5"/>
      <c r="GP322" s="5"/>
      <c r="GQ322" s="5"/>
      <c r="GR322" s="5"/>
      <c r="GS322" s="5"/>
      <c r="GT322" s="5"/>
      <c r="GU322" s="5"/>
      <c r="GV322" s="5"/>
      <c r="GW322" s="5"/>
      <c r="GX322" s="5"/>
      <c r="GY322" s="5"/>
      <c r="GZ322" s="5"/>
      <c r="HA322" s="5"/>
      <c r="HB322" s="5"/>
      <c r="HC322" s="5"/>
      <c r="HD322" s="5"/>
      <c r="HE322" s="5"/>
      <c r="HF322" s="5"/>
      <c r="HG322" s="5"/>
      <c r="HH322" s="5"/>
      <c r="HI322" s="5"/>
      <c r="HJ322" s="5"/>
      <c r="HK322" s="5"/>
      <c r="HL322" s="5"/>
      <c r="HM322" s="5"/>
      <c r="HN322" s="5"/>
      <c r="HO322" s="5"/>
      <c r="HP322" s="5"/>
      <c r="HQ322" s="5"/>
      <c r="HR322" s="5"/>
      <c r="HS322" s="5"/>
      <c r="HT322" s="5"/>
      <c r="HU322" s="5"/>
      <c r="HV322" s="5"/>
      <c r="HW322" s="5"/>
      <c r="HX322" s="5"/>
      <c r="HY322" s="5"/>
      <c r="HZ322" s="5"/>
      <c r="IA322" s="5"/>
      <c r="IB322" s="5"/>
      <c r="IC322" s="5"/>
      <c r="ID322" s="5"/>
    </row>
    <row r="323" spans="1:239" customHeight="1" ht="13.2"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  <c r="BW323" s="5"/>
      <c r="BX323" s="5"/>
      <c r="BY323" s="5"/>
      <c r="BZ323" s="5"/>
      <c r="CA323" s="5"/>
      <c r="CB323" s="5"/>
      <c r="CC323" s="5"/>
      <c r="CD323" s="5"/>
      <c r="CE323" s="5"/>
      <c r="CF323" s="5"/>
      <c r="CG323" s="5"/>
      <c r="CH323" s="5"/>
      <c r="CI323" s="5"/>
      <c r="CJ323" s="5"/>
      <c r="CK323" s="5"/>
      <c r="CL323" s="5"/>
      <c r="CM323" s="5"/>
      <c r="CN323" s="5"/>
      <c r="CO323" s="5"/>
      <c r="CP323" s="5"/>
      <c r="CQ323" s="5"/>
      <c r="CR323" s="5"/>
      <c r="CS323" s="5"/>
      <c r="CT323" s="5"/>
      <c r="CU323" s="5"/>
      <c r="CV323" s="5"/>
      <c r="CW323" s="5"/>
      <c r="CX323" s="5"/>
      <c r="CY323" s="5"/>
      <c r="CZ323" s="5"/>
      <c r="DA323" s="5"/>
      <c r="DB323" s="5"/>
      <c r="DC323" s="5"/>
      <c r="DD323" s="5"/>
      <c r="DE323" s="5"/>
      <c r="DF323" s="5"/>
      <c r="DG323" s="5"/>
      <c r="DH323" s="5"/>
      <c r="DI323" s="5"/>
      <c r="DJ323" s="5"/>
      <c r="DK323" s="5"/>
      <c r="DL323" s="5"/>
      <c r="DM323" s="5"/>
      <c r="DN323" s="5"/>
      <c r="DO323" s="5"/>
      <c r="DP323" s="5"/>
      <c r="DQ323" s="5"/>
      <c r="DR323" s="5"/>
      <c r="DS323" s="5"/>
      <c r="DT323" s="5"/>
      <c r="DU323" s="5"/>
      <c r="DV323" s="5"/>
      <c r="DW323" s="5"/>
      <c r="DX323" s="5"/>
      <c r="DY323" s="5"/>
      <c r="DZ323" s="5"/>
      <c r="EA323" s="5"/>
      <c r="EB323" s="5"/>
      <c r="EC323" s="5"/>
      <c r="ED323" s="5"/>
      <c r="EE323" s="5"/>
      <c r="EF323" s="5"/>
      <c r="EG323" s="5"/>
      <c r="EH323" s="5"/>
      <c r="EI323" s="5"/>
      <c r="EJ323" s="5"/>
      <c r="EK323" s="5"/>
      <c r="EL323" s="5"/>
      <c r="EM323" s="5"/>
      <c r="EN323" s="5"/>
      <c r="EO323" s="5"/>
      <c r="EP323" s="5"/>
      <c r="EQ323" s="5"/>
      <c r="ER323" s="5"/>
      <c r="ES323" s="5"/>
      <c r="ET323" s="5"/>
      <c r="EU323" s="5"/>
      <c r="EV323" s="5"/>
      <c r="EW323" s="5"/>
      <c r="EX323" s="5"/>
      <c r="EY323" s="5"/>
      <c r="EZ323" s="5"/>
      <c r="FA323" s="5"/>
      <c r="FB323" s="5"/>
      <c r="FC323" s="5"/>
      <c r="FD323" s="5"/>
      <c r="FE323" s="5"/>
      <c r="FF323" s="5"/>
      <c r="FG323" s="5"/>
      <c r="FH323" s="5"/>
      <c r="FI323" s="5"/>
      <c r="FJ323" s="5"/>
      <c r="FK323" s="5"/>
      <c r="FL323" s="5"/>
      <c r="FM323" s="5"/>
      <c r="FN323" s="5"/>
      <c r="FO323" s="5"/>
      <c r="FP323" s="5"/>
      <c r="FQ323" s="5"/>
      <c r="FR323" s="5"/>
      <c r="FS323" s="5"/>
      <c r="FT323" s="5"/>
      <c r="FU323" s="5"/>
      <c r="FV323" s="5"/>
      <c r="FW323" s="5"/>
      <c r="FX323" s="5"/>
      <c r="FY323" s="5"/>
      <c r="FZ323" s="5"/>
      <c r="GA323" s="5"/>
      <c r="GB323" s="5"/>
      <c r="GC323" s="5"/>
      <c r="GD323" s="5"/>
      <c r="GE323" s="5"/>
      <c r="GF323" s="5"/>
      <c r="GG323" s="5"/>
      <c r="GH323" s="5"/>
      <c r="GI323" s="5"/>
      <c r="GJ323" s="5"/>
      <c r="GK323" s="5"/>
      <c r="GL323" s="5"/>
      <c r="GM323" s="5"/>
      <c r="GN323" s="5"/>
      <c r="GO323" s="5"/>
      <c r="GP323" s="5"/>
      <c r="GQ323" s="5"/>
      <c r="GR323" s="5"/>
      <c r="GS323" s="5"/>
      <c r="GT323" s="5"/>
      <c r="GU323" s="5"/>
      <c r="GV323" s="5"/>
      <c r="GW323" s="5"/>
      <c r="GX323" s="5"/>
      <c r="GY323" s="5"/>
      <c r="GZ323" s="5"/>
      <c r="HA323" s="5"/>
      <c r="HB323" s="5"/>
      <c r="HC323" s="5"/>
      <c r="HD323" s="5"/>
      <c r="HE323" s="5"/>
      <c r="HF323" s="5"/>
      <c r="HG323" s="5"/>
      <c r="HH323" s="5"/>
      <c r="HI323" s="5"/>
      <c r="HJ323" s="5"/>
      <c r="HK323" s="5"/>
      <c r="HL323" s="5"/>
      <c r="HM323" s="5"/>
      <c r="HN323" s="5"/>
      <c r="HO323" s="5"/>
      <c r="HP323" s="5"/>
      <c r="HQ323" s="5"/>
      <c r="HR323" s="5"/>
      <c r="HS323" s="5"/>
      <c r="HT323" s="5"/>
      <c r="HU323" s="5"/>
      <c r="HV323" s="5"/>
      <c r="HW323" s="5"/>
      <c r="HX323" s="5"/>
      <c r="HY323" s="5"/>
      <c r="HZ323" s="5"/>
      <c r="IA323" s="5"/>
      <c r="IB323" s="5"/>
      <c r="IC323" s="5"/>
      <c r="ID323" s="5"/>
    </row>
    <row r="324" spans="1:239" customHeight="1" ht="13.2"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/>
      <c r="BZ324" s="5"/>
      <c r="CA324" s="5"/>
      <c r="CB324" s="5"/>
      <c r="CC324" s="5"/>
      <c r="CD324" s="5"/>
      <c r="CE324" s="5"/>
      <c r="CF324" s="5"/>
      <c r="CG324" s="5"/>
      <c r="CH324" s="5"/>
      <c r="CI324" s="5"/>
      <c r="CJ324" s="5"/>
      <c r="CK324" s="5"/>
      <c r="CL324" s="5"/>
      <c r="CM324" s="5"/>
      <c r="CN324" s="5"/>
      <c r="CO324" s="5"/>
      <c r="CP324" s="5"/>
      <c r="CQ324" s="5"/>
      <c r="CR324" s="5"/>
      <c r="CS324" s="5"/>
      <c r="CT324" s="5"/>
      <c r="CU324" s="5"/>
      <c r="CV324" s="5"/>
      <c r="CW324" s="5"/>
      <c r="CX324" s="5"/>
      <c r="CY324" s="5"/>
      <c r="CZ324" s="5"/>
      <c r="DA324" s="5"/>
      <c r="DB324" s="5"/>
      <c r="DC324" s="5"/>
      <c r="DD324" s="5"/>
      <c r="DE324" s="5"/>
      <c r="DF324" s="5"/>
      <c r="DG324" s="5"/>
      <c r="DH324" s="5"/>
      <c r="DI324" s="5"/>
      <c r="DJ324" s="5"/>
      <c r="DK324" s="5"/>
      <c r="DL324" s="5"/>
      <c r="DM324" s="5"/>
      <c r="DN324" s="5"/>
      <c r="DO324" s="5"/>
      <c r="DP324" s="5"/>
      <c r="DQ324" s="5"/>
      <c r="DR324" s="5"/>
      <c r="DS324" s="5"/>
      <c r="DT324" s="5"/>
      <c r="DU324" s="5"/>
      <c r="DV324" s="5"/>
      <c r="DW324" s="5"/>
      <c r="DX324" s="5"/>
      <c r="DY324" s="5"/>
      <c r="DZ324" s="5"/>
      <c r="EA324" s="5"/>
      <c r="EB324" s="5"/>
      <c r="EC324" s="5"/>
      <c r="ED324" s="5"/>
      <c r="EE324" s="5"/>
      <c r="EF324" s="5"/>
      <c r="EG324" s="5"/>
      <c r="EH324" s="5"/>
      <c r="EI324" s="5"/>
      <c r="EJ324" s="5"/>
      <c r="EK324" s="5"/>
      <c r="EL324" s="5"/>
      <c r="EM324" s="5"/>
      <c r="EN324" s="5"/>
      <c r="EO324" s="5"/>
      <c r="EP324" s="5"/>
      <c r="EQ324" s="5"/>
      <c r="ER324" s="5"/>
      <c r="ES324" s="5"/>
      <c r="ET324" s="5"/>
      <c r="EU324" s="5"/>
      <c r="EV324" s="5"/>
      <c r="EW324" s="5"/>
      <c r="EX324" s="5"/>
      <c r="EY324" s="5"/>
      <c r="EZ324" s="5"/>
      <c r="FA324" s="5"/>
      <c r="FB324" s="5"/>
      <c r="FC324" s="5"/>
      <c r="FD324" s="5"/>
      <c r="FE324" s="5"/>
      <c r="FF324" s="5"/>
      <c r="FG324" s="5"/>
      <c r="FH324" s="5"/>
      <c r="FI324" s="5"/>
      <c r="FJ324" s="5"/>
      <c r="FK324" s="5"/>
      <c r="FL324" s="5"/>
      <c r="FM324" s="5"/>
      <c r="FN324" s="5"/>
      <c r="FO324" s="5"/>
      <c r="FP324" s="5"/>
      <c r="FQ324" s="5"/>
      <c r="FR324" s="5"/>
      <c r="FS324" s="5"/>
      <c r="FT324" s="5"/>
      <c r="FU324" s="5"/>
      <c r="FV324" s="5"/>
      <c r="FW324" s="5"/>
      <c r="FX324" s="5"/>
      <c r="FY324" s="5"/>
      <c r="FZ324" s="5"/>
      <c r="GA324" s="5"/>
      <c r="GB324" s="5"/>
      <c r="GC324" s="5"/>
      <c r="GD324" s="5"/>
      <c r="GE324" s="5"/>
      <c r="GF324" s="5"/>
      <c r="GG324" s="5"/>
      <c r="GH324" s="5"/>
      <c r="GI324" s="5"/>
      <c r="GJ324" s="5"/>
      <c r="GK324" s="5"/>
      <c r="GL324" s="5"/>
      <c r="GM324" s="5"/>
      <c r="GN324" s="5"/>
      <c r="GO324" s="5"/>
      <c r="GP324" s="5"/>
      <c r="GQ324" s="5"/>
      <c r="GR324" s="5"/>
      <c r="GS324" s="5"/>
      <c r="GT324" s="5"/>
      <c r="GU324" s="5"/>
      <c r="GV324" s="5"/>
      <c r="GW324" s="5"/>
      <c r="GX324" s="5"/>
      <c r="GY324" s="5"/>
      <c r="GZ324" s="5"/>
      <c r="HA324" s="5"/>
      <c r="HB324" s="5"/>
      <c r="HC324" s="5"/>
      <c r="HD324" s="5"/>
      <c r="HE324" s="5"/>
      <c r="HF324" s="5"/>
      <c r="HG324" s="5"/>
      <c r="HH324" s="5"/>
      <c r="HI324" s="5"/>
      <c r="HJ324" s="5"/>
      <c r="HK324" s="5"/>
      <c r="HL324" s="5"/>
      <c r="HM324" s="5"/>
      <c r="HN324" s="5"/>
      <c r="HO324" s="5"/>
      <c r="HP324" s="5"/>
      <c r="HQ324" s="5"/>
      <c r="HR324" s="5"/>
      <c r="HS324" s="5"/>
      <c r="HT324" s="5"/>
      <c r="HU324" s="5"/>
      <c r="HV324" s="5"/>
      <c r="HW324" s="5"/>
      <c r="HX324" s="5"/>
      <c r="HY324" s="5"/>
      <c r="HZ324" s="5"/>
      <c r="IA324" s="5"/>
      <c r="IB324" s="5"/>
      <c r="IC324" s="5"/>
      <c r="ID324" s="5"/>
    </row>
    <row r="325" spans="1:239" customHeight="1" ht="13.2"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  <c r="BZ325" s="5"/>
      <c r="CA325" s="5"/>
      <c r="CB325" s="5"/>
      <c r="CC325" s="5"/>
      <c r="CD325" s="5"/>
      <c r="CE325" s="5"/>
      <c r="CF325" s="5"/>
      <c r="CG325" s="5"/>
      <c r="CH325" s="5"/>
      <c r="CI325" s="5"/>
      <c r="CJ325" s="5"/>
      <c r="CK325" s="5"/>
      <c r="CL325" s="5"/>
      <c r="CM325" s="5"/>
      <c r="CN325" s="5"/>
      <c r="CO325" s="5"/>
      <c r="CP325" s="5"/>
      <c r="CQ325" s="5"/>
      <c r="CR325" s="5"/>
      <c r="CS325" s="5"/>
      <c r="CT325" s="5"/>
      <c r="CU325" s="5"/>
      <c r="CV325" s="5"/>
      <c r="CW325" s="5"/>
      <c r="CX325" s="5"/>
      <c r="CY325" s="5"/>
      <c r="CZ325" s="5"/>
      <c r="DA325" s="5"/>
      <c r="DB325" s="5"/>
      <c r="DC325" s="5"/>
      <c r="DD325" s="5"/>
      <c r="DE325" s="5"/>
      <c r="DF325" s="5"/>
      <c r="DG325" s="5"/>
      <c r="DH325" s="5"/>
      <c r="DI325" s="5"/>
      <c r="DJ325" s="5"/>
      <c r="DK325" s="5"/>
      <c r="DL325" s="5"/>
      <c r="DM325" s="5"/>
      <c r="DN325" s="5"/>
      <c r="DO325" s="5"/>
      <c r="DP325" s="5"/>
      <c r="DQ325" s="5"/>
      <c r="DR325" s="5"/>
      <c r="DS325" s="5"/>
      <c r="DT325" s="5"/>
      <c r="DU325" s="5"/>
      <c r="DV325" s="5"/>
      <c r="DW325" s="5"/>
      <c r="DX325" s="5"/>
      <c r="DY325" s="5"/>
      <c r="DZ325" s="5"/>
      <c r="EA325" s="5"/>
      <c r="EB325" s="5"/>
      <c r="EC325" s="5"/>
      <c r="ED325" s="5"/>
      <c r="EE325" s="5"/>
      <c r="EF325" s="5"/>
      <c r="EG325" s="5"/>
      <c r="EH325" s="5"/>
      <c r="EI325" s="5"/>
      <c r="EJ325" s="5"/>
      <c r="EK325" s="5"/>
      <c r="EL325" s="5"/>
      <c r="EM325" s="5"/>
      <c r="EN325" s="5"/>
      <c r="EO325" s="5"/>
      <c r="EP325" s="5"/>
      <c r="EQ325" s="5"/>
      <c r="ER325" s="5"/>
      <c r="ES325" s="5"/>
      <c r="ET325" s="5"/>
      <c r="EU325" s="5"/>
      <c r="EV325" s="5"/>
      <c r="EW325" s="5"/>
      <c r="EX325" s="5"/>
      <c r="EY325" s="5"/>
      <c r="EZ325" s="5"/>
      <c r="FA325" s="5"/>
      <c r="FB325" s="5"/>
      <c r="FC325" s="5"/>
      <c r="FD325" s="5"/>
      <c r="FE325" s="5"/>
      <c r="FF325" s="5"/>
      <c r="FG325" s="5"/>
      <c r="FH325" s="5"/>
      <c r="FI325" s="5"/>
      <c r="FJ325" s="5"/>
      <c r="FK325" s="5"/>
      <c r="FL325" s="5"/>
      <c r="FM325" s="5"/>
      <c r="FN325" s="5"/>
      <c r="FO325" s="5"/>
      <c r="FP325" s="5"/>
      <c r="FQ325" s="5"/>
      <c r="FR325" s="5"/>
      <c r="FS325" s="5"/>
      <c r="FT325" s="5"/>
      <c r="FU325" s="5"/>
      <c r="FV325" s="5"/>
      <c r="FW325" s="5"/>
      <c r="FX325" s="5"/>
      <c r="FY325" s="5"/>
      <c r="FZ325" s="5"/>
      <c r="GA325" s="5"/>
      <c r="GB325" s="5"/>
      <c r="GC325" s="5"/>
      <c r="GD325" s="5"/>
      <c r="GE325" s="5"/>
      <c r="GF325" s="5"/>
      <c r="GG325" s="5"/>
      <c r="GH325" s="5"/>
      <c r="GI325" s="5"/>
      <c r="GJ325" s="5"/>
      <c r="GK325" s="5"/>
      <c r="GL325" s="5"/>
      <c r="GM325" s="5"/>
      <c r="GN325" s="5"/>
      <c r="GO325" s="5"/>
      <c r="GP325" s="5"/>
      <c r="GQ325" s="5"/>
      <c r="GR325" s="5"/>
      <c r="GS325" s="5"/>
      <c r="GT325" s="5"/>
      <c r="GU325" s="5"/>
      <c r="GV325" s="5"/>
      <c r="GW325" s="5"/>
      <c r="GX325" s="5"/>
      <c r="GY325" s="5"/>
      <c r="GZ325" s="5"/>
      <c r="HA325" s="5"/>
      <c r="HB325" s="5"/>
      <c r="HC325" s="5"/>
      <c r="HD325" s="5"/>
      <c r="HE325" s="5"/>
      <c r="HF325" s="5"/>
      <c r="HG325" s="5"/>
      <c r="HH325" s="5"/>
      <c r="HI325" s="5"/>
      <c r="HJ325" s="5"/>
      <c r="HK325" s="5"/>
      <c r="HL325" s="5"/>
      <c r="HM325" s="5"/>
      <c r="HN325" s="5"/>
      <c r="HO325" s="5"/>
      <c r="HP325" s="5"/>
      <c r="HQ325" s="5"/>
      <c r="HR325" s="5"/>
      <c r="HS325" s="5"/>
      <c r="HT325" s="5"/>
      <c r="HU325" s="5"/>
      <c r="HV325" s="5"/>
      <c r="HW325" s="5"/>
      <c r="HX325" s="5"/>
      <c r="HY325" s="5"/>
      <c r="HZ325" s="5"/>
      <c r="IA325" s="5"/>
      <c r="IB325" s="5"/>
      <c r="IC325" s="5"/>
      <c r="ID325" s="5"/>
    </row>
    <row r="326" spans="1:239" customHeight="1" ht="13.2"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  <c r="CE326" s="5"/>
      <c r="CF326" s="5"/>
      <c r="CG326" s="5"/>
      <c r="CH326" s="5"/>
      <c r="CI326" s="5"/>
      <c r="CJ326" s="5"/>
      <c r="CK326" s="5"/>
      <c r="CL326" s="5"/>
      <c r="CM326" s="5"/>
      <c r="CN326" s="5"/>
      <c r="CO326" s="5"/>
      <c r="CP326" s="5"/>
      <c r="CQ326" s="5"/>
      <c r="CR326" s="5"/>
      <c r="CS326" s="5"/>
      <c r="CT326" s="5"/>
      <c r="CU326" s="5"/>
      <c r="CV326" s="5"/>
      <c r="CW326" s="5"/>
      <c r="CX326" s="5"/>
      <c r="CY326" s="5"/>
      <c r="CZ326" s="5"/>
      <c r="DA326" s="5"/>
      <c r="DB326" s="5"/>
      <c r="DC326" s="5"/>
      <c r="DD326" s="5"/>
      <c r="DE326" s="5"/>
      <c r="DF326" s="5"/>
      <c r="DG326" s="5"/>
      <c r="DH326" s="5"/>
      <c r="DI326" s="5"/>
      <c r="DJ326" s="5"/>
      <c r="DK326" s="5"/>
      <c r="DL326" s="5"/>
      <c r="DM326" s="5"/>
      <c r="DN326" s="5"/>
      <c r="DO326" s="5"/>
      <c r="DP326" s="5"/>
      <c r="DQ326" s="5"/>
      <c r="DR326" s="5"/>
      <c r="DS326" s="5"/>
      <c r="DT326" s="5"/>
      <c r="DU326" s="5"/>
      <c r="DV326" s="5"/>
      <c r="DW326" s="5"/>
      <c r="DX326" s="5"/>
      <c r="DY326" s="5"/>
      <c r="DZ326" s="5"/>
      <c r="EA326" s="5"/>
      <c r="EB326" s="5"/>
      <c r="EC326" s="5"/>
      <c r="ED326" s="5"/>
      <c r="EE326" s="5"/>
      <c r="EF326" s="5"/>
      <c r="EG326" s="5"/>
      <c r="EH326" s="5"/>
      <c r="EI326" s="5"/>
      <c r="EJ326" s="5"/>
      <c r="EK326" s="5"/>
      <c r="EL326" s="5"/>
      <c r="EM326" s="5"/>
      <c r="EN326" s="5"/>
      <c r="EO326" s="5"/>
      <c r="EP326" s="5"/>
      <c r="EQ326" s="5"/>
      <c r="ER326" s="5"/>
      <c r="ES326" s="5"/>
      <c r="ET326" s="5"/>
      <c r="EU326" s="5"/>
      <c r="EV326" s="5"/>
      <c r="EW326" s="5"/>
      <c r="EX326" s="5"/>
      <c r="EY326" s="5"/>
      <c r="EZ326" s="5"/>
      <c r="FA326" s="5"/>
      <c r="FB326" s="5"/>
      <c r="FC326" s="5"/>
      <c r="FD326" s="5"/>
      <c r="FE326" s="5"/>
      <c r="FF326" s="5"/>
      <c r="FG326" s="5"/>
      <c r="FH326" s="5"/>
      <c r="FI326" s="5"/>
      <c r="FJ326" s="5"/>
      <c r="FK326" s="5"/>
      <c r="FL326" s="5"/>
      <c r="FM326" s="5"/>
      <c r="FN326" s="5"/>
      <c r="FO326" s="5"/>
      <c r="FP326" s="5"/>
      <c r="FQ326" s="5"/>
      <c r="FR326" s="5"/>
      <c r="FS326" s="5"/>
      <c r="FT326" s="5"/>
      <c r="FU326" s="5"/>
      <c r="FV326" s="5"/>
      <c r="FW326" s="5"/>
      <c r="FX326" s="5"/>
      <c r="FY326" s="5"/>
      <c r="FZ326" s="5"/>
      <c r="GA326" s="5"/>
      <c r="GB326" s="5"/>
      <c r="GC326" s="5"/>
      <c r="GD326" s="5"/>
      <c r="GE326" s="5"/>
      <c r="GF326" s="5"/>
      <c r="GG326" s="5"/>
      <c r="GH326" s="5"/>
      <c r="GI326" s="5"/>
      <c r="GJ326" s="5"/>
      <c r="GK326" s="5"/>
      <c r="GL326" s="5"/>
      <c r="GM326" s="5"/>
      <c r="GN326" s="5"/>
      <c r="GO326" s="5"/>
      <c r="GP326" s="5"/>
      <c r="GQ326" s="5"/>
      <c r="GR326" s="5"/>
      <c r="GS326" s="5"/>
      <c r="GT326" s="5"/>
      <c r="GU326" s="5"/>
      <c r="GV326" s="5"/>
      <c r="GW326" s="5"/>
      <c r="GX326" s="5"/>
      <c r="GY326" s="5"/>
      <c r="GZ326" s="5"/>
      <c r="HA326" s="5"/>
      <c r="HB326" s="5"/>
      <c r="HC326" s="5"/>
      <c r="HD326" s="5"/>
      <c r="HE326" s="5"/>
      <c r="HF326" s="5"/>
      <c r="HG326" s="5"/>
      <c r="HH326" s="5"/>
      <c r="HI326" s="5"/>
      <c r="HJ326" s="5"/>
      <c r="HK326" s="5"/>
      <c r="HL326" s="5"/>
      <c r="HM326" s="5"/>
      <c r="HN326" s="5"/>
      <c r="HO326" s="5"/>
      <c r="HP326" s="5"/>
      <c r="HQ326" s="5"/>
      <c r="HR326" s="5"/>
      <c r="HS326" s="5"/>
      <c r="HT326" s="5"/>
      <c r="HU326" s="5"/>
      <c r="HV326" s="5"/>
      <c r="HW326" s="5"/>
      <c r="HX326" s="5"/>
      <c r="HY326" s="5"/>
      <c r="HZ326" s="5"/>
      <c r="IA326" s="5"/>
      <c r="IB326" s="5"/>
      <c r="IC326" s="5"/>
      <c r="ID326" s="5"/>
    </row>
    <row r="327" spans="1:239" customHeight="1" ht="13.2"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/>
      <c r="BZ327" s="5"/>
      <c r="CA327" s="5"/>
      <c r="CB327" s="5"/>
      <c r="CC327" s="5"/>
      <c r="CD327" s="5"/>
      <c r="CE327" s="5"/>
      <c r="CF327" s="5"/>
      <c r="CG327" s="5"/>
      <c r="CH327" s="5"/>
      <c r="CI327" s="5"/>
      <c r="CJ327" s="5"/>
      <c r="CK327" s="5"/>
      <c r="CL327" s="5"/>
      <c r="CM327" s="5"/>
      <c r="CN327" s="5"/>
      <c r="CO327" s="5"/>
      <c r="CP327" s="5"/>
      <c r="CQ327" s="5"/>
      <c r="CR327" s="5"/>
      <c r="CS327" s="5"/>
      <c r="CT327" s="5"/>
      <c r="CU327" s="5"/>
      <c r="CV327" s="5"/>
      <c r="CW327" s="5"/>
      <c r="CX327" s="5"/>
      <c r="CY327" s="5"/>
      <c r="CZ327" s="5"/>
      <c r="DA327" s="5"/>
      <c r="DB327" s="5"/>
      <c r="DC327" s="5"/>
      <c r="DD327" s="5"/>
      <c r="DE327" s="5"/>
      <c r="DF327" s="5"/>
      <c r="DG327" s="5"/>
      <c r="DH327" s="5"/>
      <c r="DI327" s="5"/>
      <c r="DJ327" s="5"/>
      <c r="DK327" s="5"/>
      <c r="DL327" s="5"/>
      <c r="DM327" s="5"/>
      <c r="DN327" s="5"/>
      <c r="DO327" s="5"/>
      <c r="DP327" s="5"/>
      <c r="DQ327" s="5"/>
      <c r="DR327" s="5"/>
      <c r="DS327" s="5"/>
      <c r="DT327" s="5"/>
      <c r="DU327" s="5"/>
      <c r="DV327" s="5"/>
      <c r="DW327" s="5"/>
      <c r="DX327" s="5"/>
      <c r="DY327" s="5"/>
      <c r="DZ327" s="5"/>
      <c r="EA327" s="5"/>
      <c r="EB327" s="5"/>
      <c r="EC327" s="5"/>
      <c r="ED327" s="5"/>
      <c r="EE327" s="5"/>
      <c r="EF327" s="5"/>
      <c r="EG327" s="5"/>
      <c r="EH327" s="5"/>
      <c r="EI327" s="5"/>
      <c r="EJ327" s="5"/>
      <c r="EK327" s="5"/>
      <c r="EL327" s="5"/>
      <c r="EM327" s="5"/>
      <c r="EN327" s="5"/>
      <c r="EO327" s="5"/>
      <c r="EP327" s="5"/>
      <c r="EQ327" s="5"/>
      <c r="ER327" s="5"/>
      <c r="ES327" s="5"/>
      <c r="ET327" s="5"/>
      <c r="EU327" s="5"/>
      <c r="EV327" s="5"/>
      <c r="EW327" s="5"/>
      <c r="EX327" s="5"/>
      <c r="EY327" s="5"/>
      <c r="EZ327" s="5"/>
      <c r="FA327" s="5"/>
      <c r="FB327" s="5"/>
      <c r="FC327" s="5"/>
      <c r="FD327" s="5"/>
      <c r="FE327" s="5"/>
      <c r="FF327" s="5"/>
      <c r="FG327" s="5"/>
      <c r="FH327" s="5"/>
      <c r="FI327" s="5"/>
      <c r="FJ327" s="5"/>
      <c r="FK327" s="5"/>
      <c r="FL327" s="5"/>
      <c r="FM327" s="5"/>
      <c r="FN327" s="5"/>
      <c r="FO327" s="5"/>
      <c r="FP327" s="5"/>
      <c r="FQ327" s="5"/>
      <c r="FR327" s="5"/>
      <c r="FS327" s="5"/>
      <c r="FT327" s="5"/>
      <c r="FU327" s="5"/>
      <c r="FV327" s="5"/>
      <c r="FW327" s="5"/>
      <c r="FX327" s="5"/>
      <c r="FY327" s="5"/>
      <c r="FZ327" s="5"/>
      <c r="GA327" s="5"/>
      <c r="GB327" s="5"/>
      <c r="GC327" s="5"/>
      <c r="GD327" s="5"/>
      <c r="GE327" s="5"/>
      <c r="GF327" s="5"/>
      <c r="GG327" s="5"/>
      <c r="GH327" s="5"/>
      <c r="GI327" s="5"/>
      <c r="GJ327" s="5"/>
      <c r="GK327" s="5"/>
      <c r="GL327" s="5"/>
      <c r="GM327" s="5"/>
      <c r="GN327" s="5"/>
      <c r="GO327" s="5"/>
      <c r="GP327" s="5"/>
      <c r="GQ327" s="5"/>
      <c r="GR327" s="5"/>
      <c r="GS327" s="5"/>
      <c r="GT327" s="5"/>
      <c r="GU327" s="5"/>
      <c r="GV327" s="5"/>
      <c r="GW327" s="5"/>
      <c r="GX327" s="5"/>
      <c r="GY327" s="5"/>
      <c r="GZ327" s="5"/>
      <c r="HA327" s="5"/>
      <c r="HB327" s="5"/>
      <c r="HC327" s="5"/>
      <c r="HD327" s="5"/>
      <c r="HE327" s="5"/>
      <c r="HF327" s="5"/>
      <c r="HG327" s="5"/>
      <c r="HH327" s="5"/>
      <c r="HI327" s="5"/>
      <c r="HJ327" s="5"/>
      <c r="HK327" s="5"/>
      <c r="HL327" s="5"/>
      <c r="HM327" s="5"/>
      <c r="HN327" s="5"/>
      <c r="HO327" s="5"/>
      <c r="HP327" s="5"/>
      <c r="HQ327" s="5"/>
      <c r="HR327" s="5"/>
      <c r="HS327" s="5"/>
      <c r="HT327" s="5"/>
      <c r="HU327" s="5"/>
      <c r="HV327" s="5"/>
      <c r="HW327" s="5"/>
      <c r="HX327" s="5"/>
      <c r="HY327" s="5"/>
      <c r="HZ327" s="5"/>
      <c r="IA327" s="5"/>
      <c r="IB327" s="5"/>
      <c r="IC327" s="5"/>
      <c r="ID327" s="5"/>
    </row>
    <row r="328" spans="1:239" customHeight="1" ht="13.2"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/>
      <c r="BZ328" s="5"/>
      <c r="CA328" s="5"/>
      <c r="CB328" s="5"/>
      <c r="CC328" s="5"/>
      <c r="CD328" s="5"/>
      <c r="CE328" s="5"/>
      <c r="CF328" s="5"/>
      <c r="CG328" s="5"/>
      <c r="CH328" s="5"/>
      <c r="CI328" s="5"/>
      <c r="CJ328" s="5"/>
      <c r="CK328" s="5"/>
      <c r="CL328" s="5"/>
      <c r="CM328" s="5"/>
      <c r="CN328" s="5"/>
      <c r="CO328" s="5"/>
      <c r="CP328" s="5"/>
      <c r="CQ328" s="5"/>
      <c r="CR328" s="5"/>
      <c r="CS328" s="5"/>
      <c r="CT328" s="5"/>
      <c r="CU328" s="5"/>
      <c r="CV328" s="5"/>
      <c r="CW328" s="5"/>
      <c r="CX328" s="5"/>
      <c r="CY328" s="5"/>
      <c r="CZ328" s="5"/>
      <c r="DA328" s="5"/>
      <c r="DB328" s="5"/>
      <c r="DC328" s="5"/>
      <c r="DD328" s="5"/>
      <c r="DE328" s="5"/>
      <c r="DF328" s="5"/>
      <c r="DG328" s="5"/>
      <c r="DH328" s="5"/>
      <c r="DI328" s="5"/>
      <c r="DJ328" s="5"/>
      <c r="DK328" s="5"/>
      <c r="DL328" s="5"/>
      <c r="DM328" s="5"/>
      <c r="DN328" s="5"/>
      <c r="DO328" s="5"/>
      <c r="DP328" s="5"/>
      <c r="DQ328" s="5"/>
      <c r="DR328" s="5"/>
      <c r="DS328" s="5"/>
      <c r="DT328" s="5"/>
      <c r="DU328" s="5"/>
      <c r="DV328" s="5"/>
      <c r="DW328" s="5"/>
      <c r="DX328" s="5"/>
      <c r="DY328" s="5"/>
      <c r="DZ328" s="5"/>
      <c r="EA328" s="5"/>
      <c r="EB328" s="5"/>
      <c r="EC328" s="5"/>
      <c r="ED328" s="5"/>
      <c r="EE328" s="5"/>
      <c r="EF328" s="5"/>
      <c r="EG328" s="5"/>
      <c r="EH328" s="5"/>
      <c r="EI328" s="5"/>
      <c r="EJ328" s="5"/>
      <c r="EK328" s="5"/>
      <c r="EL328" s="5"/>
      <c r="EM328" s="5"/>
      <c r="EN328" s="5"/>
      <c r="EO328" s="5"/>
      <c r="EP328" s="5"/>
      <c r="EQ328" s="5"/>
      <c r="ER328" s="5"/>
      <c r="ES328" s="5"/>
      <c r="ET328" s="5"/>
      <c r="EU328" s="5"/>
      <c r="EV328" s="5"/>
      <c r="EW328" s="5"/>
      <c r="EX328" s="5"/>
      <c r="EY328" s="5"/>
      <c r="EZ328" s="5"/>
      <c r="FA328" s="5"/>
      <c r="FB328" s="5"/>
      <c r="FC328" s="5"/>
      <c r="FD328" s="5"/>
      <c r="FE328" s="5"/>
      <c r="FF328" s="5"/>
      <c r="FG328" s="5"/>
      <c r="FH328" s="5"/>
      <c r="FI328" s="5"/>
      <c r="FJ328" s="5"/>
      <c r="FK328" s="5"/>
      <c r="FL328" s="5"/>
      <c r="FM328" s="5"/>
      <c r="FN328" s="5"/>
      <c r="FO328" s="5"/>
      <c r="FP328" s="5"/>
      <c r="FQ328" s="5"/>
      <c r="FR328" s="5"/>
      <c r="FS328" s="5"/>
      <c r="FT328" s="5"/>
      <c r="FU328" s="5"/>
      <c r="FV328" s="5"/>
      <c r="FW328" s="5"/>
      <c r="FX328" s="5"/>
      <c r="FY328" s="5"/>
      <c r="FZ328" s="5"/>
      <c r="GA328" s="5"/>
      <c r="GB328" s="5"/>
      <c r="GC328" s="5"/>
      <c r="GD328" s="5"/>
      <c r="GE328" s="5"/>
      <c r="GF328" s="5"/>
      <c r="GG328" s="5"/>
      <c r="GH328" s="5"/>
      <c r="GI328" s="5"/>
      <c r="GJ328" s="5"/>
      <c r="GK328" s="5"/>
      <c r="GL328" s="5"/>
      <c r="GM328" s="5"/>
      <c r="GN328" s="5"/>
      <c r="GO328" s="5"/>
      <c r="GP328" s="5"/>
      <c r="GQ328" s="5"/>
      <c r="GR328" s="5"/>
      <c r="GS328" s="5"/>
      <c r="GT328" s="5"/>
      <c r="GU328" s="5"/>
      <c r="GV328" s="5"/>
      <c r="GW328" s="5"/>
      <c r="GX328" s="5"/>
      <c r="GY328" s="5"/>
      <c r="GZ328" s="5"/>
      <c r="HA328" s="5"/>
      <c r="HB328" s="5"/>
      <c r="HC328" s="5"/>
      <c r="HD328" s="5"/>
      <c r="HE328" s="5"/>
      <c r="HF328" s="5"/>
      <c r="HG328" s="5"/>
      <c r="HH328" s="5"/>
      <c r="HI328" s="5"/>
      <c r="HJ328" s="5"/>
      <c r="HK328" s="5"/>
      <c r="HL328" s="5"/>
      <c r="HM328" s="5"/>
      <c r="HN328" s="5"/>
      <c r="HO328" s="5"/>
      <c r="HP328" s="5"/>
      <c r="HQ328" s="5"/>
      <c r="HR328" s="5"/>
      <c r="HS328" s="5"/>
      <c r="HT328" s="5"/>
      <c r="HU328" s="5"/>
      <c r="HV328" s="5"/>
      <c r="HW328" s="5"/>
      <c r="HX328" s="5"/>
      <c r="HY328" s="5"/>
      <c r="HZ328" s="5"/>
      <c r="IA328" s="5"/>
      <c r="IB328" s="5"/>
      <c r="IC328" s="5"/>
      <c r="ID328" s="5"/>
    </row>
    <row r="329" spans="1:239" customHeight="1" ht="13.2"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/>
      <c r="BZ329" s="5"/>
      <c r="CA329" s="5"/>
      <c r="CB329" s="5"/>
      <c r="CC329" s="5"/>
      <c r="CD329" s="5"/>
      <c r="CE329" s="5"/>
      <c r="CF329" s="5"/>
      <c r="CG329" s="5"/>
      <c r="CH329" s="5"/>
      <c r="CI329" s="5"/>
      <c r="CJ329" s="5"/>
      <c r="CK329" s="5"/>
      <c r="CL329" s="5"/>
      <c r="CM329" s="5"/>
      <c r="CN329" s="5"/>
      <c r="CO329" s="5"/>
      <c r="CP329" s="5"/>
      <c r="CQ329" s="5"/>
      <c r="CR329" s="5"/>
      <c r="CS329" s="5"/>
      <c r="CT329" s="5"/>
      <c r="CU329" s="5"/>
      <c r="CV329" s="5"/>
      <c r="CW329" s="5"/>
      <c r="CX329" s="5"/>
      <c r="CY329" s="5"/>
      <c r="CZ329" s="5"/>
      <c r="DA329" s="5"/>
      <c r="DB329" s="5"/>
      <c r="DC329" s="5"/>
      <c r="DD329" s="5"/>
      <c r="DE329" s="5"/>
      <c r="DF329" s="5"/>
      <c r="DG329" s="5"/>
      <c r="DH329" s="5"/>
      <c r="DI329" s="5"/>
      <c r="DJ329" s="5"/>
      <c r="DK329" s="5"/>
      <c r="DL329" s="5"/>
      <c r="DM329" s="5"/>
      <c r="DN329" s="5"/>
      <c r="DO329" s="5"/>
      <c r="DP329" s="5"/>
      <c r="DQ329" s="5"/>
      <c r="DR329" s="5"/>
      <c r="DS329" s="5"/>
      <c r="DT329" s="5"/>
      <c r="DU329" s="5"/>
      <c r="DV329" s="5"/>
      <c r="DW329" s="5"/>
      <c r="DX329" s="5"/>
      <c r="DY329" s="5"/>
      <c r="DZ329" s="5"/>
      <c r="EA329" s="5"/>
      <c r="EB329" s="5"/>
      <c r="EC329" s="5"/>
      <c r="ED329" s="5"/>
      <c r="EE329" s="5"/>
      <c r="EF329" s="5"/>
      <c r="EG329" s="5"/>
      <c r="EH329" s="5"/>
      <c r="EI329" s="5"/>
      <c r="EJ329" s="5"/>
      <c r="EK329" s="5"/>
      <c r="EL329" s="5"/>
      <c r="EM329" s="5"/>
      <c r="EN329" s="5"/>
      <c r="EO329" s="5"/>
      <c r="EP329" s="5"/>
      <c r="EQ329" s="5"/>
      <c r="ER329" s="5"/>
      <c r="ES329" s="5"/>
      <c r="ET329" s="5"/>
      <c r="EU329" s="5"/>
      <c r="EV329" s="5"/>
      <c r="EW329" s="5"/>
      <c r="EX329" s="5"/>
      <c r="EY329" s="5"/>
      <c r="EZ329" s="5"/>
      <c r="FA329" s="5"/>
      <c r="FB329" s="5"/>
      <c r="FC329" s="5"/>
      <c r="FD329" s="5"/>
      <c r="FE329" s="5"/>
      <c r="FF329" s="5"/>
      <c r="FG329" s="5"/>
      <c r="FH329" s="5"/>
      <c r="FI329" s="5"/>
      <c r="FJ329" s="5"/>
      <c r="FK329" s="5"/>
      <c r="FL329" s="5"/>
      <c r="FM329" s="5"/>
      <c r="FN329" s="5"/>
      <c r="FO329" s="5"/>
      <c r="FP329" s="5"/>
      <c r="FQ329" s="5"/>
      <c r="FR329" s="5"/>
      <c r="FS329" s="5"/>
      <c r="FT329" s="5"/>
      <c r="FU329" s="5"/>
      <c r="FV329" s="5"/>
      <c r="FW329" s="5"/>
      <c r="FX329" s="5"/>
      <c r="FY329" s="5"/>
      <c r="FZ329" s="5"/>
      <c r="GA329" s="5"/>
      <c r="GB329" s="5"/>
      <c r="GC329" s="5"/>
      <c r="GD329" s="5"/>
      <c r="GE329" s="5"/>
      <c r="GF329" s="5"/>
      <c r="GG329" s="5"/>
      <c r="GH329" s="5"/>
      <c r="GI329" s="5"/>
      <c r="GJ329" s="5"/>
      <c r="GK329" s="5"/>
      <c r="GL329" s="5"/>
      <c r="GM329" s="5"/>
      <c r="GN329" s="5"/>
      <c r="GO329" s="5"/>
      <c r="GP329" s="5"/>
      <c r="GQ329" s="5"/>
      <c r="GR329" s="5"/>
      <c r="GS329" s="5"/>
      <c r="GT329" s="5"/>
      <c r="GU329" s="5"/>
      <c r="GV329" s="5"/>
      <c r="GW329" s="5"/>
      <c r="GX329" s="5"/>
      <c r="GY329" s="5"/>
      <c r="GZ329" s="5"/>
      <c r="HA329" s="5"/>
      <c r="HB329" s="5"/>
      <c r="HC329" s="5"/>
      <c r="HD329" s="5"/>
      <c r="HE329" s="5"/>
      <c r="HF329" s="5"/>
      <c r="HG329" s="5"/>
      <c r="HH329" s="5"/>
      <c r="HI329" s="5"/>
      <c r="HJ329" s="5"/>
      <c r="HK329" s="5"/>
      <c r="HL329" s="5"/>
      <c r="HM329" s="5"/>
      <c r="HN329" s="5"/>
      <c r="HO329" s="5"/>
      <c r="HP329" s="5"/>
      <c r="HQ329" s="5"/>
      <c r="HR329" s="5"/>
      <c r="HS329" s="5"/>
      <c r="HT329" s="5"/>
      <c r="HU329" s="5"/>
      <c r="HV329" s="5"/>
      <c r="HW329" s="5"/>
      <c r="HX329" s="5"/>
      <c r="HY329" s="5"/>
      <c r="HZ329" s="5"/>
      <c r="IA329" s="5"/>
      <c r="IB329" s="5"/>
      <c r="IC329" s="5"/>
      <c r="ID329" s="5"/>
    </row>
    <row r="330" spans="1:239" customHeight="1" ht="13.2"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  <c r="BW330" s="5"/>
      <c r="BX330" s="5"/>
      <c r="BY330" s="5"/>
      <c r="BZ330" s="5"/>
      <c r="CA330" s="5"/>
      <c r="CB330" s="5"/>
      <c r="CC330" s="5"/>
      <c r="CD330" s="5"/>
      <c r="CE330" s="5"/>
      <c r="CF330" s="5"/>
      <c r="CG330" s="5"/>
      <c r="CH330" s="5"/>
      <c r="CI330" s="5"/>
      <c r="CJ330" s="5"/>
      <c r="CK330" s="5"/>
      <c r="CL330" s="5"/>
      <c r="CM330" s="5"/>
      <c r="CN330" s="5"/>
      <c r="CO330" s="5"/>
      <c r="CP330" s="5"/>
      <c r="CQ330" s="5"/>
      <c r="CR330" s="5"/>
      <c r="CS330" s="5"/>
      <c r="CT330" s="5"/>
      <c r="CU330" s="5"/>
      <c r="CV330" s="5"/>
      <c r="CW330" s="5"/>
      <c r="CX330" s="5"/>
      <c r="CY330" s="5"/>
      <c r="CZ330" s="5"/>
      <c r="DA330" s="5"/>
      <c r="DB330" s="5"/>
      <c r="DC330" s="5"/>
      <c r="DD330" s="5"/>
      <c r="DE330" s="5"/>
      <c r="DF330" s="5"/>
      <c r="DG330" s="5"/>
      <c r="DH330" s="5"/>
      <c r="DI330" s="5"/>
      <c r="DJ330" s="5"/>
      <c r="DK330" s="5"/>
      <c r="DL330" s="5"/>
      <c r="DM330" s="5"/>
      <c r="DN330" s="5"/>
      <c r="DO330" s="5"/>
      <c r="DP330" s="5"/>
      <c r="DQ330" s="5"/>
      <c r="DR330" s="5"/>
      <c r="DS330" s="5"/>
      <c r="DT330" s="5"/>
      <c r="DU330" s="5"/>
      <c r="DV330" s="5"/>
      <c r="DW330" s="5"/>
      <c r="DX330" s="5"/>
      <c r="DY330" s="5"/>
      <c r="DZ330" s="5"/>
      <c r="EA330" s="5"/>
      <c r="EB330" s="5"/>
      <c r="EC330" s="5"/>
      <c r="ED330" s="5"/>
      <c r="EE330" s="5"/>
      <c r="EF330" s="5"/>
      <c r="EG330" s="5"/>
      <c r="EH330" s="5"/>
      <c r="EI330" s="5"/>
      <c r="EJ330" s="5"/>
      <c r="EK330" s="5"/>
      <c r="EL330" s="5"/>
      <c r="EM330" s="5"/>
      <c r="EN330" s="5"/>
      <c r="EO330" s="5"/>
      <c r="EP330" s="5"/>
      <c r="EQ330" s="5"/>
      <c r="ER330" s="5"/>
      <c r="ES330" s="5"/>
      <c r="ET330" s="5"/>
      <c r="EU330" s="5"/>
      <c r="EV330" s="5"/>
      <c r="EW330" s="5"/>
      <c r="EX330" s="5"/>
      <c r="EY330" s="5"/>
      <c r="EZ330" s="5"/>
      <c r="FA330" s="5"/>
      <c r="FB330" s="5"/>
      <c r="FC330" s="5"/>
      <c r="FD330" s="5"/>
      <c r="FE330" s="5"/>
      <c r="FF330" s="5"/>
      <c r="FG330" s="5"/>
      <c r="FH330" s="5"/>
      <c r="FI330" s="5"/>
      <c r="FJ330" s="5"/>
      <c r="FK330" s="5"/>
      <c r="FL330" s="5"/>
      <c r="FM330" s="5"/>
      <c r="FN330" s="5"/>
      <c r="FO330" s="5"/>
      <c r="FP330" s="5"/>
      <c r="FQ330" s="5"/>
      <c r="FR330" s="5"/>
      <c r="FS330" s="5"/>
      <c r="FT330" s="5"/>
      <c r="FU330" s="5"/>
      <c r="FV330" s="5"/>
      <c r="FW330" s="5"/>
      <c r="FX330" s="5"/>
      <c r="FY330" s="5"/>
      <c r="FZ330" s="5"/>
      <c r="GA330" s="5"/>
      <c r="GB330" s="5"/>
      <c r="GC330" s="5"/>
      <c r="GD330" s="5"/>
      <c r="GE330" s="5"/>
      <c r="GF330" s="5"/>
      <c r="GG330" s="5"/>
      <c r="GH330" s="5"/>
      <c r="GI330" s="5"/>
      <c r="GJ330" s="5"/>
      <c r="GK330" s="5"/>
      <c r="GL330" s="5"/>
      <c r="GM330" s="5"/>
      <c r="GN330" s="5"/>
      <c r="GO330" s="5"/>
      <c r="GP330" s="5"/>
      <c r="GQ330" s="5"/>
      <c r="GR330" s="5"/>
      <c r="GS330" s="5"/>
      <c r="GT330" s="5"/>
      <c r="GU330" s="5"/>
      <c r="GV330" s="5"/>
      <c r="GW330" s="5"/>
      <c r="GX330" s="5"/>
      <c r="GY330" s="5"/>
      <c r="GZ330" s="5"/>
      <c r="HA330" s="5"/>
      <c r="HB330" s="5"/>
      <c r="HC330" s="5"/>
      <c r="HD330" s="5"/>
      <c r="HE330" s="5"/>
      <c r="HF330" s="5"/>
      <c r="HG330" s="5"/>
      <c r="HH330" s="5"/>
      <c r="HI330" s="5"/>
      <c r="HJ330" s="5"/>
      <c r="HK330" s="5"/>
      <c r="HL330" s="5"/>
      <c r="HM330" s="5"/>
      <c r="HN330" s="5"/>
      <c r="HO330" s="5"/>
      <c r="HP330" s="5"/>
      <c r="HQ330" s="5"/>
      <c r="HR330" s="5"/>
      <c r="HS330" s="5"/>
      <c r="HT330" s="5"/>
      <c r="HU330" s="5"/>
      <c r="HV330" s="5"/>
      <c r="HW330" s="5"/>
      <c r="HX330" s="5"/>
      <c r="HY330" s="5"/>
      <c r="HZ330" s="5"/>
      <c r="IA330" s="5"/>
      <c r="IB330" s="5"/>
      <c r="IC330" s="5"/>
      <c r="ID330" s="5"/>
    </row>
    <row r="331" spans="1:239" customHeight="1" ht="13.2"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  <c r="BW331" s="5"/>
      <c r="BX331" s="5"/>
      <c r="BY331" s="5"/>
      <c r="BZ331" s="5"/>
      <c r="CA331" s="5"/>
      <c r="CB331" s="5"/>
      <c r="CC331" s="5"/>
      <c r="CD331" s="5"/>
      <c r="CE331" s="5"/>
      <c r="CF331" s="5"/>
      <c r="CG331" s="5"/>
      <c r="CH331" s="5"/>
      <c r="CI331" s="5"/>
      <c r="CJ331" s="5"/>
      <c r="CK331" s="5"/>
      <c r="CL331" s="5"/>
      <c r="CM331" s="5"/>
      <c r="CN331" s="5"/>
      <c r="CO331" s="5"/>
      <c r="CP331" s="5"/>
      <c r="CQ331" s="5"/>
      <c r="CR331" s="5"/>
      <c r="CS331" s="5"/>
      <c r="CT331" s="5"/>
      <c r="CU331" s="5"/>
      <c r="CV331" s="5"/>
      <c r="CW331" s="5"/>
      <c r="CX331" s="5"/>
      <c r="CY331" s="5"/>
      <c r="CZ331" s="5"/>
      <c r="DA331" s="5"/>
      <c r="DB331" s="5"/>
      <c r="DC331" s="5"/>
      <c r="DD331" s="5"/>
      <c r="DE331" s="5"/>
      <c r="DF331" s="5"/>
      <c r="DG331" s="5"/>
      <c r="DH331" s="5"/>
      <c r="DI331" s="5"/>
      <c r="DJ331" s="5"/>
      <c r="DK331" s="5"/>
      <c r="DL331" s="5"/>
      <c r="DM331" s="5"/>
      <c r="DN331" s="5"/>
      <c r="DO331" s="5"/>
      <c r="DP331" s="5"/>
      <c r="DQ331" s="5"/>
      <c r="DR331" s="5"/>
      <c r="DS331" s="5"/>
      <c r="DT331" s="5"/>
      <c r="DU331" s="5"/>
      <c r="DV331" s="5"/>
      <c r="DW331" s="5"/>
      <c r="DX331" s="5"/>
      <c r="DY331" s="5"/>
      <c r="DZ331" s="5"/>
      <c r="EA331" s="5"/>
      <c r="EB331" s="5"/>
      <c r="EC331" s="5"/>
      <c r="ED331" s="5"/>
      <c r="EE331" s="5"/>
      <c r="EF331" s="5"/>
      <c r="EG331" s="5"/>
      <c r="EH331" s="5"/>
      <c r="EI331" s="5"/>
      <c r="EJ331" s="5"/>
      <c r="EK331" s="5"/>
      <c r="EL331" s="5"/>
      <c r="EM331" s="5"/>
      <c r="EN331" s="5"/>
      <c r="EO331" s="5"/>
      <c r="EP331" s="5"/>
      <c r="EQ331" s="5"/>
      <c r="ER331" s="5"/>
      <c r="ES331" s="5"/>
      <c r="ET331" s="5"/>
      <c r="EU331" s="5"/>
      <c r="EV331" s="5"/>
      <c r="EW331" s="5"/>
      <c r="EX331" s="5"/>
      <c r="EY331" s="5"/>
      <c r="EZ331" s="5"/>
      <c r="FA331" s="5"/>
      <c r="FB331" s="5"/>
      <c r="FC331" s="5"/>
      <c r="FD331" s="5"/>
      <c r="FE331" s="5"/>
      <c r="FF331" s="5"/>
      <c r="FG331" s="5"/>
      <c r="FH331" s="5"/>
      <c r="FI331" s="5"/>
      <c r="FJ331" s="5"/>
      <c r="FK331" s="5"/>
      <c r="FL331" s="5"/>
      <c r="FM331" s="5"/>
      <c r="FN331" s="5"/>
      <c r="FO331" s="5"/>
      <c r="FP331" s="5"/>
      <c r="FQ331" s="5"/>
      <c r="FR331" s="5"/>
      <c r="FS331" s="5"/>
      <c r="FT331" s="5"/>
      <c r="FU331" s="5"/>
      <c r="FV331" s="5"/>
      <c r="FW331" s="5"/>
      <c r="FX331" s="5"/>
      <c r="FY331" s="5"/>
      <c r="FZ331" s="5"/>
      <c r="GA331" s="5"/>
      <c r="GB331" s="5"/>
      <c r="GC331" s="5"/>
      <c r="GD331" s="5"/>
      <c r="GE331" s="5"/>
      <c r="GF331" s="5"/>
      <c r="GG331" s="5"/>
      <c r="GH331" s="5"/>
      <c r="GI331" s="5"/>
      <c r="GJ331" s="5"/>
      <c r="GK331" s="5"/>
      <c r="GL331" s="5"/>
      <c r="GM331" s="5"/>
      <c r="GN331" s="5"/>
      <c r="GO331" s="5"/>
      <c r="GP331" s="5"/>
      <c r="GQ331" s="5"/>
      <c r="GR331" s="5"/>
      <c r="GS331" s="5"/>
      <c r="GT331" s="5"/>
      <c r="GU331" s="5"/>
      <c r="GV331" s="5"/>
      <c r="GW331" s="5"/>
      <c r="GX331" s="5"/>
      <c r="GY331" s="5"/>
      <c r="GZ331" s="5"/>
      <c r="HA331" s="5"/>
      <c r="HB331" s="5"/>
      <c r="HC331" s="5"/>
      <c r="HD331" s="5"/>
      <c r="HE331" s="5"/>
      <c r="HF331" s="5"/>
      <c r="HG331" s="5"/>
      <c r="HH331" s="5"/>
      <c r="HI331" s="5"/>
      <c r="HJ331" s="5"/>
      <c r="HK331" s="5"/>
      <c r="HL331" s="5"/>
      <c r="HM331" s="5"/>
      <c r="HN331" s="5"/>
      <c r="HO331" s="5"/>
      <c r="HP331" s="5"/>
      <c r="HQ331" s="5"/>
      <c r="HR331" s="5"/>
      <c r="HS331" s="5"/>
      <c r="HT331" s="5"/>
      <c r="HU331" s="5"/>
      <c r="HV331" s="5"/>
      <c r="HW331" s="5"/>
      <c r="HX331" s="5"/>
      <c r="HY331" s="5"/>
      <c r="HZ331" s="5"/>
      <c r="IA331" s="5"/>
      <c r="IB331" s="5"/>
      <c r="IC331" s="5"/>
      <c r="ID331" s="5"/>
    </row>
    <row r="332" spans="1:239" customHeight="1" ht="13.2"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/>
      <c r="BZ332" s="5"/>
      <c r="CA332" s="5"/>
      <c r="CB332" s="5"/>
      <c r="CC332" s="5"/>
      <c r="CD332" s="5"/>
      <c r="CE332" s="5"/>
      <c r="CF332" s="5"/>
      <c r="CG332" s="5"/>
      <c r="CH332" s="5"/>
      <c r="CI332" s="5"/>
      <c r="CJ332" s="5"/>
      <c r="CK332" s="5"/>
      <c r="CL332" s="5"/>
      <c r="CM332" s="5"/>
      <c r="CN332" s="5"/>
      <c r="CO332" s="5"/>
      <c r="CP332" s="5"/>
      <c r="CQ332" s="5"/>
      <c r="CR332" s="5"/>
      <c r="CS332" s="5"/>
      <c r="CT332" s="5"/>
      <c r="CU332" s="5"/>
      <c r="CV332" s="5"/>
      <c r="CW332" s="5"/>
      <c r="CX332" s="5"/>
      <c r="CY332" s="5"/>
      <c r="CZ332" s="5"/>
      <c r="DA332" s="5"/>
      <c r="DB332" s="5"/>
      <c r="DC332" s="5"/>
      <c r="DD332" s="5"/>
      <c r="DE332" s="5"/>
      <c r="DF332" s="5"/>
      <c r="DG332" s="5"/>
      <c r="DH332" s="5"/>
      <c r="DI332" s="5"/>
      <c r="DJ332" s="5"/>
      <c r="DK332" s="5"/>
      <c r="DL332" s="5"/>
      <c r="DM332" s="5"/>
      <c r="DN332" s="5"/>
      <c r="DO332" s="5"/>
      <c r="DP332" s="5"/>
      <c r="DQ332" s="5"/>
      <c r="DR332" s="5"/>
      <c r="DS332" s="5"/>
      <c r="DT332" s="5"/>
      <c r="DU332" s="5"/>
      <c r="DV332" s="5"/>
      <c r="DW332" s="5"/>
      <c r="DX332" s="5"/>
      <c r="DY332" s="5"/>
      <c r="DZ332" s="5"/>
      <c r="EA332" s="5"/>
      <c r="EB332" s="5"/>
      <c r="EC332" s="5"/>
      <c r="ED332" s="5"/>
      <c r="EE332" s="5"/>
      <c r="EF332" s="5"/>
      <c r="EG332" s="5"/>
      <c r="EH332" s="5"/>
      <c r="EI332" s="5"/>
      <c r="EJ332" s="5"/>
      <c r="EK332" s="5"/>
      <c r="EL332" s="5"/>
      <c r="EM332" s="5"/>
      <c r="EN332" s="5"/>
      <c r="EO332" s="5"/>
      <c r="EP332" s="5"/>
      <c r="EQ332" s="5"/>
      <c r="ER332" s="5"/>
      <c r="ES332" s="5"/>
      <c r="ET332" s="5"/>
      <c r="EU332" s="5"/>
      <c r="EV332" s="5"/>
      <c r="EW332" s="5"/>
      <c r="EX332" s="5"/>
      <c r="EY332" s="5"/>
      <c r="EZ332" s="5"/>
      <c r="FA332" s="5"/>
      <c r="FB332" s="5"/>
      <c r="FC332" s="5"/>
      <c r="FD332" s="5"/>
      <c r="FE332" s="5"/>
      <c r="FF332" s="5"/>
      <c r="FG332" s="5"/>
      <c r="FH332" s="5"/>
      <c r="FI332" s="5"/>
      <c r="FJ332" s="5"/>
      <c r="FK332" s="5"/>
      <c r="FL332" s="5"/>
      <c r="FM332" s="5"/>
      <c r="FN332" s="5"/>
      <c r="FO332" s="5"/>
      <c r="FP332" s="5"/>
      <c r="FQ332" s="5"/>
      <c r="FR332" s="5"/>
      <c r="FS332" s="5"/>
      <c r="FT332" s="5"/>
      <c r="FU332" s="5"/>
      <c r="FV332" s="5"/>
      <c r="FW332" s="5"/>
      <c r="FX332" s="5"/>
      <c r="FY332" s="5"/>
      <c r="FZ332" s="5"/>
      <c r="GA332" s="5"/>
      <c r="GB332" s="5"/>
      <c r="GC332" s="5"/>
      <c r="GD332" s="5"/>
      <c r="GE332" s="5"/>
      <c r="GF332" s="5"/>
      <c r="GG332" s="5"/>
      <c r="GH332" s="5"/>
      <c r="GI332" s="5"/>
      <c r="GJ332" s="5"/>
      <c r="GK332" s="5"/>
      <c r="GL332" s="5"/>
      <c r="GM332" s="5"/>
      <c r="GN332" s="5"/>
      <c r="GO332" s="5"/>
      <c r="GP332" s="5"/>
      <c r="GQ332" s="5"/>
      <c r="GR332" s="5"/>
      <c r="GS332" s="5"/>
      <c r="GT332" s="5"/>
      <c r="GU332" s="5"/>
      <c r="GV332" s="5"/>
      <c r="GW332" s="5"/>
      <c r="GX332" s="5"/>
      <c r="GY332" s="5"/>
      <c r="GZ332" s="5"/>
      <c r="HA332" s="5"/>
      <c r="HB332" s="5"/>
      <c r="HC332" s="5"/>
      <c r="HD332" s="5"/>
      <c r="HE332" s="5"/>
      <c r="HF332" s="5"/>
      <c r="HG332" s="5"/>
      <c r="HH332" s="5"/>
      <c r="HI332" s="5"/>
      <c r="HJ332" s="5"/>
      <c r="HK332" s="5"/>
      <c r="HL332" s="5"/>
      <c r="HM332" s="5"/>
      <c r="HN332" s="5"/>
      <c r="HO332" s="5"/>
      <c r="HP332" s="5"/>
      <c r="HQ332" s="5"/>
      <c r="HR332" s="5"/>
      <c r="HS332" s="5"/>
      <c r="HT332" s="5"/>
      <c r="HU332" s="5"/>
      <c r="HV332" s="5"/>
      <c r="HW332" s="5"/>
      <c r="HX332" s="5"/>
      <c r="HY332" s="5"/>
      <c r="HZ332" s="5"/>
      <c r="IA332" s="5"/>
      <c r="IB332" s="5"/>
      <c r="IC332" s="5"/>
      <c r="ID332" s="5"/>
    </row>
    <row r="333" spans="1:239" customHeight="1" ht="13.2"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  <c r="CE333" s="5"/>
      <c r="CF333" s="5"/>
      <c r="CG333" s="5"/>
      <c r="CH333" s="5"/>
      <c r="CI333" s="5"/>
      <c r="CJ333" s="5"/>
      <c r="CK333" s="5"/>
      <c r="CL333" s="5"/>
      <c r="CM333" s="5"/>
      <c r="CN333" s="5"/>
      <c r="CO333" s="5"/>
      <c r="CP333" s="5"/>
      <c r="CQ333" s="5"/>
      <c r="CR333" s="5"/>
      <c r="CS333" s="5"/>
      <c r="CT333" s="5"/>
      <c r="CU333" s="5"/>
      <c r="CV333" s="5"/>
      <c r="CW333" s="5"/>
      <c r="CX333" s="5"/>
      <c r="CY333" s="5"/>
      <c r="CZ333" s="5"/>
      <c r="DA333" s="5"/>
      <c r="DB333" s="5"/>
      <c r="DC333" s="5"/>
      <c r="DD333" s="5"/>
      <c r="DE333" s="5"/>
      <c r="DF333" s="5"/>
      <c r="DG333" s="5"/>
      <c r="DH333" s="5"/>
      <c r="DI333" s="5"/>
      <c r="DJ333" s="5"/>
      <c r="DK333" s="5"/>
      <c r="DL333" s="5"/>
      <c r="DM333" s="5"/>
      <c r="DN333" s="5"/>
      <c r="DO333" s="5"/>
      <c r="DP333" s="5"/>
      <c r="DQ333" s="5"/>
      <c r="DR333" s="5"/>
      <c r="DS333" s="5"/>
      <c r="DT333" s="5"/>
      <c r="DU333" s="5"/>
      <c r="DV333" s="5"/>
      <c r="DW333" s="5"/>
      <c r="DX333" s="5"/>
      <c r="DY333" s="5"/>
      <c r="DZ333" s="5"/>
      <c r="EA333" s="5"/>
      <c r="EB333" s="5"/>
      <c r="EC333" s="5"/>
      <c r="ED333" s="5"/>
      <c r="EE333" s="5"/>
      <c r="EF333" s="5"/>
      <c r="EG333" s="5"/>
      <c r="EH333" s="5"/>
      <c r="EI333" s="5"/>
      <c r="EJ333" s="5"/>
      <c r="EK333" s="5"/>
      <c r="EL333" s="5"/>
      <c r="EM333" s="5"/>
      <c r="EN333" s="5"/>
      <c r="EO333" s="5"/>
      <c r="EP333" s="5"/>
      <c r="EQ333" s="5"/>
      <c r="ER333" s="5"/>
      <c r="ES333" s="5"/>
      <c r="ET333" s="5"/>
      <c r="EU333" s="5"/>
      <c r="EV333" s="5"/>
      <c r="EW333" s="5"/>
      <c r="EX333" s="5"/>
      <c r="EY333" s="5"/>
      <c r="EZ333" s="5"/>
      <c r="FA333" s="5"/>
      <c r="FB333" s="5"/>
      <c r="FC333" s="5"/>
      <c r="FD333" s="5"/>
      <c r="FE333" s="5"/>
      <c r="FF333" s="5"/>
      <c r="FG333" s="5"/>
      <c r="FH333" s="5"/>
      <c r="FI333" s="5"/>
      <c r="FJ333" s="5"/>
      <c r="FK333" s="5"/>
      <c r="FL333" s="5"/>
      <c r="FM333" s="5"/>
      <c r="FN333" s="5"/>
      <c r="FO333" s="5"/>
      <c r="FP333" s="5"/>
      <c r="FQ333" s="5"/>
      <c r="FR333" s="5"/>
      <c r="FS333" s="5"/>
      <c r="FT333" s="5"/>
      <c r="FU333" s="5"/>
      <c r="FV333" s="5"/>
      <c r="FW333" s="5"/>
      <c r="FX333" s="5"/>
      <c r="FY333" s="5"/>
      <c r="FZ333" s="5"/>
      <c r="GA333" s="5"/>
      <c r="GB333" s="5"/>
      <c r="GC333" s="5"/>
      <c r="GD333" s="5"/>
      <c r="GE333" s="5"/>
      <c r="GF333" s="5"/>
      <c r="GG333" s="5"/>
      <c r="GH333" s="5"/>
      <c r="GI333" s="5"/>
      <c r="GJ333" s="5"/>
      <c r="GK333" s="5"/>
      <c r="GL333" s="5"/>
      <c r="GM333" s="5"/>
      <c r="GN333" s="5"/>
      <c r="GO333" s="5"/>
      <c r="GP333" s="5"/>
      <c r="GQ333" s="5"/>
      <c r="GR333" s="5"/>
      <c r="GS333" s="5"/>
      <c r="GT333" s="5"/>
      <c r="GU333" s="5"/>
      <c r="GV333" s="5"/>
      <c r="GW333" s="5"/>
      <c r="GX333" s="5"/>
      <c r="GY333" s="5"/>
      <c r="GZ333" s="5"/>
      <c r="HA333" s="5"/>
      <c r="HB333" s="5"/>
      <c r="HC333" s="5"/>
      <c r="HD333" s="5"/>
      <c r="HE333" s="5"/>
      <c r="HF333" s="5"/>
      <c r="HG333" s="5"/>
      <c r="HH333" s="5"/>
      <c r="HI333" s="5"/>
      <c r="HJ333" s="5"/>
      <c r="HK333" s="5"/>
      <c r="HL333" s="5"/>
      <c r="HM333" s="5"/>
      <c r="HN333" s="5"/>
      <c r="HO333" s="5"/>
      <c r="HP333" s="5"/>
      <c r="HQ333" s="5"/>
      <c r="HR333" s="5"/>
      <c r="HS333" s="5"/>
      <c r="HT333" s="5"/>
      <c r="HU333" s="5"/>
      <c r="HV333" s="5"/>
      <c r="HW333" s="5"/>
      <c r="HX333" s="5"/>
      <c r="HY333" s="5"/>
      <c r="HZ333" s="5"/>
      <c r="IA333" s="5"/>
      <c r="IB333" s="5"/>
      <c r="IC333" s="5"/>
      <c r="ID333" s="5"/>
    </row>
    <row r="334" spans="1:239" customHeight="1" ht="13.2"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/>
      <c r="BZ334" s="5"/>
      <c r="CA334" s="5"/>
      <c r="CB334" s="5"/>
      <c r="CC334" s="5"/>
      <c r="CD334" s="5"/>
      <c r="CE334" s="5"/>
      <c r="CF334" s="5"/>
      <c r="CG334" s="5"/>
      <c r="CH334" s="5"/>
      <c r="CI334" s="5"/>
      <c r="CJ334" s="5"/>
      <c r="CK334" s="5"/>
      <c r="CL334" s="5"/>
      <c r="CM334" s="5"/>
      <c r="CN334" s="5"/>
      <c r="CO334" s="5"/>
      <c r="CP334" s="5"/>
      <c r="CQ334" s="5"/>
      <c r="CR334" s="5"/>
      <c r="CS334" s="5"/>
      <c r="CT334" s="5"/>
      <c r="CU334" s="5"/>
      <c r="CV334" s="5"/>
      <c r="CW334" s="5"/>
      <c r="CX334" s="5"/>
      <c r="CY334" s="5"/>
      <c r="CZ334" s="5"/>
      <c r="DA334" s="5"/>
      <c r="DB334" s="5"/>
      <c r="DC334" s="5"/>
      <c r="DD334" s="5"/>
      <c r="DE334" s="5"/>
      <c r="DF334" s="5"/>
      <c r="DG334" s="5"/>
      <c r="DH334" s="5"/>
      <c r="DI334" s="5"/>
      <c r="DJ334" s="5"/>
      <c r="DK334" s="5"/>
      <c r="DL334" s="5"/>
      <c r="DM334" s="5"/>
      <c r="DN334" s="5"/>
      <c r="DO334" s="5"/>
      <c r="DP334" s="5"/>
      <c r="DQ334" s="5"/>
      <c r="DR334" s="5"/>
      <c r="DS334" s="5"/>
      <c r="DT334" s="5"/>
      <c r="DU334" s="5"/>
      <c r="DV334" s="5"/>
      <c r="DW334" s="5"/>
      <c r="DX334" s="5"/>
      <c r="DY334" s="5"/>
      <c r="DZ334" s="5"/>
      <c r="EA334" s="5"/>
      <c r="EB334" s="5"/>
      <c r="EC334" s="5"/>
      <c r="ED334" s="5"/>
      <c r="EE334" s="5"/>
      <c r="EF334" s="5"/>
      <c r="EG334" s="5"/>
      <c r="EH334" s="5"/>
      <c r="EI334" s="5"/>
      <c r="EJ334" s="5"/>
      <c r="EK334" s="5"/>
      <c r="EL334" s="5"/>
      <c r="EM334" s="5"/>
      <c r="EN334" s="5"/>
      <c r="EO334" s="5"/>
      <c r="EP334" s="5"/>
      <c r="EQ334" s="5"/>
      <c r="ER334" s="5"/>
      <c r="ES334" s="5"/>
      <c r="ET334" s="5"/>
      <c r="EU334" s="5"/>
      <c r="EV334" s="5"/>
      <c r="EW334" s="5"/>
      <c r="EX334" s="5"/>
      <c r="EY334" s="5"/>
      <c r="EZ334" s="5"/>
      <c r="FA334" s="5"/>
      <c r="FB334" s="5"/>
      <c r="FC334" s="5"/>
      <c r="FD334" s="5"/>
      <c r="FE334" s="5"/>
      <c r="FF334" s="5"/>
      <c r="FG334" s="5"/>
      <c r="FH334" s="5"/>
      <c r="FI334" s="5"/>
      <c r="FJ334" s="5"/>
      <c r="FK334" s="5"/>
      <c r="FL334" s="5"/>
      <c r="FM334" s="5"/>
      <c r="FN334" s="5"/>
      <c r="FO334" s="5"/>
      <c r="FP334" s="5"/>
      <c r="FQ334" s="5"/>
      <c r="FR334" s="5"/>
      <c r="FS334" s="5"/>
      <c r="FT334" s="5"/>
      <c r="FU334" s="5"/>
      <c r="FV334" s="5"/>
      <c r="FW334" s="5"/>
      <c r="FX334" s="5"/>
      <c r="FY334" s="5"/>
      <c r="FZ334" s="5"/>
      <c r="GA334" s="5"/>
      <c r="GB334" s="5"/>
      <c r="GC334" s="5"/>
      <c r="GD334" s="5"/>
      <c r="GE334" s="5"/>
      <c r="GF334" s="5"/>
      <c r="GG334" s="5"/>
      <c r="GH334" s="5"/>
      <c r="GI334" s="5"/>
      <c r="GJ334" s="5"/>
      <c r="GK334" s="5"/>
      <c r="GL334" s="5"/>
      <c r="GM334" s="5"/>
      <c r="GN334" s="5"/>
      <c r="GO334" s="5"/>
      <c r="GP334" s="5"/>
      <c r="GQ334" s="5"/>
      <c r="GR334" s="5"/>
      <c r="GS334" s="5"/>
      <c r="GT334" s="5"/>
      <c r="GU334" s="5"/>
      <c r="GV334" s="5"/>
      <c r="GW334" s="5"/>
      <c r="GX334" s="5"/>
      <c r="GY334" s="5"/>
      <c r="GZ334" s="5"/>
      <c r="HA334" s="5"/>
      <c r="HB334" s="5"/>
      <c r="HC334" s="5"/>
      <c r="HD334" s="5"/>
      <c r="HE334" s="5"/>
      <c r="HF334" s="5"/>
      <c r="HG334" s="5"/>
      <c r="HH334" s="5"/>
      <c r="HI334" s="5"/>
      <c r="HJ334" s="5"/>
      <c r="HK334" s="5"/>
      <c r="HL334" s="5"/>
      <c r="HM334" s="5"/>
      <c r="HN334" s="5"/>
      <c r="HO334" s="5"/>
      <c r="HP334" s="5"/>
      <c r="HQ334" s="5"/>
      <c r="HR334" s="5"/>
      <c r="HS334" s="5"/>
      <c r="HT334" s="5"/>
      <c r="HU334" s="5"/>
      <c r="HV334" s="5"/>
      <c r="HW334" s="5"/>
      <c r="HX334" s="5"/>
      <c r="HY334" s="5"/>
      <c r="HZ334" s="5"/>
      <c r="IA334" s="5"/>
      <c r="IB334" s="5"/>
      <c r="IC334" s="5"/>
      <c r="ID334" s="5"/>
    </row>
    <row r="335" spans="1:239" customHeight="1" ht="13.2"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  <c r="BW335" s="5"/>
      <c r="BX335" s="5"/>
      <c r="BY335" s="5"/>
      <c r="BZ335" s="5"/>
      <c r="CA335" s="5"/>
      <c r="CB335" s="5"/>
      <c r="CC335" s="5"/>
      <c r="CD335" s="5"/>
      <c r="CE335" s="5"/>
      <c r="CF335" s="5"/>
      <c r="CG335" s="5"/>
      <c r="CH335" s="5"/>
      <c r="CI335" s="5"/>
      <c r="CJ335" s="5"/>
      <c r="CK335" s="5"/>
      <c r="CL335" s="5"/>
      <c r="CM335" s="5"/>
      <c r="CN335" s="5"/>
      <c r="CO335" s="5"/>
      <c r="CP335" s="5"/>
      <c r="CQ335" s="5"/>
      <c r="CR335" s="5"/>
      <c r="CS335" s="5"/>
      <c r="CT335" s="5"/>
      <c r="CU335" s="5"/>
      <c r="CV335" s="5"/>
      <c r="CW335" s="5"/>
      <c r="CX335" s="5"/>
      <c r="CY335" s="5"/>
      <c r="CZ335" s="5"/>
      <c r="DA335" s="5"/>
      <c r="DB335" s="5"/>
      <c r="DC335" s="5"/>
      <c r="DD335" s="5"/>
      <c r="DE335" s="5"/>
      <c r="DF335" s="5"/>
      <c r="DG335" s="5"/>
      <c r="DH335" s="5"/>
      <c r="DI335" s="5"/>
      <c r="DJ335" s="5"/>
      <c r="DK335" s="5"/>
      <c r="DL335" s="5"/>
      <c r="DM335" s="5"/>
      <c r="DN335" s="5"/>
      <c r="DO335" s="5"/>
      <c r="DP335" s="5"/>
      <c r="DQ335" s="5"/>
      <c r="DR335" s="5"/>
      <c r="DS335" s="5"/>
      <c r="DT335" s="5"/>
      <c r="DU335" s="5"/>
      <c r="DV335" s="5"/>
      <c r="DW335" s="5"/>
      <c r="DX335" s="5"/>
      <c r="DY335" s="5"/>
      <c r="DZ335" s="5"/>
      <c r="EA335" s="5"/>
      <c r="EB335" s="5"/>
      <c r="EC335" s="5"/>
      <c r="ED335" s="5"/>
      <c r="EE335" s="5"/>
      <c r="EF335" s="5"/>
      <c r="EG335" s="5"/>
      <c r="EH335" s="5"/>
      <c r="EI335" s="5"/>
      <c r="EJ335" s="5"/>
      <c r="EK335" s="5"/>
      <c r="EL335" s="5"/>
      <c r="EM335" s="5"/>
      <c r="EN335" s="5"/>
      <c r="EO335" s="5"/>
      <c r="EP335" s="5"/>
      <c r="EQ335" s="5"/>
      <c r="ER335" s="5"/>
      <c r="ES335" s="5"/>
      <c r="ET335" s="5"/>
      <c r="EU335" s="5"/>
      <c r="EV335" s="5"/>
      <c r="EW335" s="5"/>
      <c r="EX335" s="5"/>
      <c r="EY335" s="5"/>
      <c r="EZ335" s="5"/>
      <c r="FA335" s="5"/>
      <c r="FB335" s="5"/>
      <c r="FC335" s="5"/>
      <c r="FD335" s="5"/>
      <c r="FE335" s="5"/>
      <c r="FF335" s="5"/>
      <c r="FG335" s="5"/>
      <c r="FH335" s="5"/>
      <c r="FI335" s="5"/>
      <c r="FJ335" s="5"/>
      <c r="FK335" s="5"/>
      <c r="FL335" s="5"/>
      <c r="FM335" s="5"/>
      <c r="FN335" s="5"/>
      <c r="FO335" s="5"/>
      <c r="FP335" s="5"/>
      <c r="FQ335" s="5"/>
      <c r="FR335" s="5"/>
      <c r="FS335" s="5"/>
      <c r="FT335" s="5"/>
      <c r="FU335" s="5"/>
      <c r="FV335" s="5"/>
      <c r="FW335" s="5"/>
      <c r="FX335" s="5"/>
      <c r="FY335" s="5"/>
      <c r="FZ335" s="5"/>
      <c r="GA335" s="5"/>
      <c r="GB335" s="5"/>
      <c r="GC335" s="5"/>
      <c r="GD335" s="5"/>
      <c r="GE335" s="5"/>
      <c r="GF335" s="5"/>
      <c r="GG335" s="5"/>
      <c r="GH335" s="5"/>
      <c r="GI335" s="5"/>
      <c r="GJ335" s="5"/>
      <c r="GK335" s="5"/>
      <c r="GL335" s="5"/>
      <c r="GM335" s="5"/>
      <c r="GN335" s="5"/>
      <c r="GO335" s="5"/>
      <c r="GP335" s="5"/>
      <c r="GQ335" s="5"/>
      <c r="GR335" s="5"/>
      <c r="GS335" s="5"/>
      <c r="GT335" s="5"/>
      <c r="GU335" s="5"/>
      <c r="GV335" s="5"/>
      <c r="GW335" s="5"/>
      <c r="GX335" s="5"/>
      <c r="GY335" s="5"/>
      <c r="GZ335" s="5"/>
      <c r="HA335" s="5"/>
      <c r="HB335" s="5"/>
      <c r="HC335" s="5"/>
      <c r="HD335" s="5"/>
      <c r="HE335" s="5"/>
      <c r="HF335" s="5"/>
      <c r="HG335" s="5"/>
      <c r="HH335" s="5"/>
      <c r="HI335" s="5"/>
      <c r="HJ335" s="5"/>
      <c r="HK335" s="5"/>
      <c r="HL335" s="5"/>
      <c r="HM335" s="5"/>
      <c r="HN335" s="5"/>
      <c r="HO335" s="5"/>
      <c r="HP335" s="5"/>
      <c r="HQ335" s="5"/>
      <c r="HR335" s="5"/>
      <c r="HS335" s="5"/>
      <c r="HT335" s="5"/>
      <c r="HU335" s="5"/>
      <c r="HV335" s="5"/>
      <c r="HW335" s="5"/>
      <c r="HX335" s="5"/>
      <c r="HY335" s="5"/>
      <c r="HZ335" s="5"/>
      <c r="IA335" s="5"/>
      <c r="IB335" s="5"/>
      <c r="IC335" s="5"/>
      <c r="ID335" s="5"/>
    </row>
    <row r="336" spans="1:239" customHeight="1" ht="13.2"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/>
      <c r="BZ336" s="5"/>
      <c r="CA336" s="5"/>
      <c r="CB336" s="5"/>
      <c r="CC336" s="5"/>
      <c r="CD336" s="5"/>
      <c r="CE336" s="5"/>
      <c r="CF336" s="5"/>
      <c r="CG336" s="5"/>
      <c r="CH336" s="5"/>
      <c r="CI336" s="5"/>
      <c r="CJ336" s="5"/>
      <c r="CK336" s="5"/>
      <c r="CL336" s="5"/>
      <c r="CM336" s="5"/>
      <c r="CN336" s="5"/>
      <c r="CO336" s="5"/>
      <c r="CP336" s="5"/>
      <c r="CQ336" s="5"/>
      <c r="CR336" s="5"/>
      <c r="CS336" s="5"/>
      <c r="CT336" s="5"/>
      <c r="CU336" s="5"/>
      <c r="CV336" s="5"/>
      <c r="CW336" s="5"/>
      <c r="CX336" s="5"/>
      <c r="CY336" s="5"/>
      <c r="CZ336" s="5"/>
      <c r="DA336" s="5"/>
      <c r="DB336" s="5"/>
      <c r="DC336" s="5"/>
      <c r="DD336" s="5"/>
      <c r="DE336" s="5"/>
      <c r="DF336" s="5"/>
      <c r="DG336" s="5"/>
      <c r="DH336" s="5"/>
      <c r="DI336" s="5"/>
      <c r="DJ336" s="5"/>
      <c r="DK336" s="5"/>
      <c r="DL336" s="5"/>
      <c r="DM336" s="5"/>
      <c r="DN336" s="5"/>
      <c r="DO336" s="5"/>
      <c r="DP336" s="5"/>
      <c r="DQ336" s="5"/>
      <c r="DR336" s="5"/>
      <c r="DS336" s="5"/>
      <c r="DT336" s="5"/>
      <c r="DU336" s="5"/>
      <c r="DV336" s="5"/>
      <c r="DW336" s="5"/>
      <c r="DX336" s="5"/>
      <c r="DY336" s="5"/>
      <c r="DZ336" s="5"/>
      <c r="EA336" s="5"/>
      <c r="EB336" s="5"/>
      <c r="EC336" s="5"/>
      <c r="ED336" s="5"/>
      <c r="EE336" s="5"/>
      <c r="EF336" s="5"/>
      <c r="EG336" s="5"/>
      <c r="EH336" s="5"/>
      <c r="EI336" s="5"/>
      <c r="EJ336" s="5"/>
      <c r="EK336" s="5"/>
      <c r="EL336" s="5"/>
      <c r="EM336" s="5"/>
      <c r="EN336" s="5"/>
      <c r="EO336" s="5"/>
      <c r="EP336" s="5"/>
      <c r="EQ336" s="5"/>
      <c r="ER336" s="5"/>
      <c r="ES336" s="5"/>
      <c r="ET336" s="5"/>
      <c r="EU336" s="5"/>
      <c r="EV336" s="5"/>
      <c r="EW336" s="5"/>
      <c r="EX336" s="5"/>
      <c r="EY336" s="5"/>
      <c r="EZ336" s="5"/>
      <c r="FA336" s="5"/>
      <c r="FB336" s="5"/>
      <c r="FC336" s="5"/>
      <c r="FD336" s="5"/>
      <c r="FE336" s="5"/>
      <c r="FF336" s="5"/>
      <c r="FG336" s="5"/>
      <c r="FH336" s="5"/>
      <c r="FI336" s="5"/>
      <c r="FJ336" s="5"/>
      <c r="FK336" s="5"/>
      <c r="FL336" s="5"/>
      <c r="FM336" s="5"/>
      <c r="FN336" s="5"/>
      <c r="FO336" s="5"/>
      <c r="FP336" s="5"/>
      <c r="FQ336" s="5"/>
      <c r="FR336" s="5"/>
      <c r="FS336" s="5"/>
      <c r="FT336" s="5"/>
      <c r="FU336" s="5"/>
      <c r="FV336" s="5"/>
      <c r="FW336" s="5"/>
      <c r="FX336" s="5"/>
      <c r="FY336" s="5"/>
      <c r="FZ336" s="5"/>
      <c r="GA336" s="5"/>
      <c r="GB336" s="5"/>
      <c r="GC336" s="5"/>
      <c r="GD336" s="5"/>
      <c r="GE336" s="5"/>
      <c r="GF336" s="5"/>
      <c r="GG336" s="5"/>
      <c r="GH336" s="5"/>
      <c r="GI336" s="5"/>
      <c r="GJ336" s="5"/>
      <c r="GK336" s="5"/>
      <c r="GL336" s="5"/>
      <c r="GM336" s="5"/>
      <c r="GN336" s="5"/>
      <c r="GO336" s="5"/>
      <c r="GP336" s="5"/>
      <c r="GQ336" s="5"/>
      <c r="GR336" s="5"/>
      <c r="GS336" s="5"/>
      <c r="GT336" s="5"/>
      <c r="GU336" s="5"/>
      <c r="GV336" s="5"/>
      <c r="GW336" s="5"/>
      <c r="GX336" s="5"/>
      <c r="GY336" s="5"/>
      <c r="GZ336" s="5"/>
      <c r="HA336" s="5"/>
      <c r="HB336" s="5"/>
      <c r="HC336" s="5"/>
      <c r="HD336" s="5"/>
      <c r="HE336" s="5"/>
      <c r="HF336" s="5"/>
      <c r="HG336" s="5"/>
      <c r="HH336" s="5"/>
      <c r="HI336" s="5"/>
      <c r="HJ336" s="5"/>
      <c r="HK336" s="5"/>
      <c r="HL336" s="5"/>
      <c r="HM336" s="5"/>
      <c r="HN336" s="5"/>
      <c r="HO336" s="5"/>
      <c r="HP336" s="5"/>
      <c r="HQ336" s="5"/>
      <c r="HR336" s="5"/>
      <c r="HS336" s="5"/>
      <c r="HT336" s="5"/>
      <c r="HU336" s="5"/>
      <c r="HV336" s="5"/>
      <c r="HW336" s="5"/>
      <c r="HX336" s="5"/>
      <c r="HY336" s="5"/>
      <c r="HZ336" s="5"/>
      <c r="IA336" s="5"/>
      <c r="IB336" s="5"/>
      <c r="IC336" s="5"/>
      <c r="ID336" s="5"/>
    </row>
    <row r="337" spans="1:239" customHeight="1" ht="13.2"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  <c r="BW337" s="5"/>
      <c r="BX337" s="5"/>
      <c r="BY337" s="5"/>
      <c r="BZ337" s="5"/>
      <c r="CA337" s="5"/>
      <c r="CB337" s="5"/>
      <c r="CC337" s="5"/>
      <c r="CD337" s="5"/>
      <c r="CE337" s="5"/>
      <c r="CF337" s="5"/>
      <c r="CG337" s="5"/>
      <c r="CH337" s="5"/>
      <c r="CI337" s="5"/>
      <c r="CJ337" s="5"/>
      <c r="CK337" s="5"/>
      <c r="CL337" s="5"/>
      <c r="CM337" s="5"/>
      <c r="CN337" s="5"/>
      <c r="CO337" s="5"/>
      <c r="CP337" s="5"/>
      <c r="CQ337" s="5"/>
      <c r="CR337" s="5"/>
      <c r="CS337" s="5"/>
      <c r="CT337" s="5"/>
      <c r="CU337" s="5"/>
      <c r="CV337" s="5"/>
      <c r="CW337" s="5"/>
      <c r="CX337" s="5"/>
      <c r="CY337" s="5"/>
      <c r="CZ337" s="5"/>
      <c r="DA337" s="5"/>
      <c r="DB337" s="5"/>
      <c r="DC337" s="5"/>
      <c r="DD337" s="5"/>
      <c r="DE337" s="5"/>
      <c r="DF337" s="5"/>
      <c r="DG337" s="5"/>
      <c r="DH337" s="5"/>
      <c r="DI337" s="5"/>
      <c r="DJ337" s="5"/>
      <c r="DK337" s="5"/>
      <c r="DL337" s="5"/>
      <c r="DM337" s="5"/>
      <c r="DN337" s="5"/>
      <c r="DO337" s="5"/>
      <c r="DP337" s="5"/>
      <c r="DQ337" s="5"/>
      <c r="DR337" s="5"/>
      <c r="DS337" s="5"/>
      <c r="DT337" s="5"/>
      <c r="DU337" s="5"/>
      <c r="DV337" s="5"/>
      <c r="DW337" s="5"/>
      <c r="DX337" s="5"/>
      <c r="DY337" s="5"/>
      <c r="DZ337" s="5"/>
      <c r="EA337" s="5"/>
      <c r="EB337" s="5"/>
      <c r="EC337" s="5"/>
      <c r="ED337" s="5"/>
      <c r="EE337" s="5"/>
      <c r="EF337" s="5"/>
      <c r="EG337" s="5"/>
      <c r="EH337" s="5"/>
      <c r="EI337" s="5"/>
      <c r="EJ337" s="5"/>
      <c r="EK337" s="5"/>
      <c r="EL337" s="5"/>
      <c r="EM337" s="5"/>
      <c r="EN337" s="5"/>
      <c r="EO337" s="5"/>
      <c r="EP337" s="5"/>
      <c r="EQ337" s="5"/>
      <c r="ER337" s="5"/>
      <c r="ES337" s="5"/>
      <c r="ET337" s="5"/>
      <c r="EU337" s="5"/>
      <c r="EV337" s="5"/>
      <c r="EW337" s="5"/>
      <c r="EX337" s="5"/>
      <c r="EY337" s="5"/>
      <c r="EZ337" s="5"/>
      <c r="FA337" s="5"/>
      <c r="FB337" s="5"/>
      <c r="FC337" s="5"/>
      <c r="FD337" s="5"/>
      <c r="FE337" s="5"/>
      <c r="FF337" s="5"/>
      <c r="FG337" s="5"/>
      <c r="FH337" s="5"/>
      <c r="FI337" s="5"/>
      <c r="FJ337" s="5"/>
      <c r="FK337" s="5"/>
      <c r="FL337" s="5"/>
      <c r="FM337" s="5"/>
      <c r="FN337" s="5"/>
      <c r="FO337" s="5"/>
      <c r="FP337" s="5"/>
      <c r="FQ337" s="5"/>
      <c r="FR337" s="5"/>
      <c r="FS337" s="5"/>
      <c r="FT337" s="5"/>
      <c r="FU337" s="5"/>
      <c r="FV337" s="5"/>
      <c r="FW337" s="5"/>
      <c r="FX337" s="5"/>
      <c r="FY337" s="5"/>
      <c r="FZ337" s="5"/>
      <c r="GA337" s="5"/>
      <c r="GB337" s="5"/>
      <c r="GC337" s="5"/>
      <c r="GD337" s="5"/>
      <c r="GE337" s="5"/>
      <c r="GF337" s="5"/>
      <c r="GG337" s="5"/>
      <c r="GH337" s="5"/>
      <c r="GI337" s="5"/>
      <c r="GJ337" s="5"/>
      <c r="GK337" s="5"/>
      <c r="GL337" s="5"/>
      <c r="GM337" s="5"/>
      <c r="GN337" s="5"/>
      <c r="GO337" s="5"/>
      <c r="GP337" s="5"/>
      <c r="GQ337" s="5"/>
      <c r="GR337" s="5"/>
      <c r="GS337" s="5"/>
      <c r="GT337" s="5"/>
      <c r="GU337" s="5"/>
      <c r="GV337" s="5"/>
      <c r="GW337" s="5"/>
      <c r="GX337" s="5"/>
      <c r="GY337" s="5"/>
      <c r="GZ337" s="5"/>
      <c r="HA337" s="5"/>
      <c r="HB337" s="5"/>
      <c r="HC337" s="5"/>
      <c r="HD337" s="5"/>
      <c r="HE337" s="5"/>
      <c r="HF337" s="5"/>
      <c r="HG337" s="5"/>
      <c r="HH337" s="5"/>
      <c r="HI337" s="5"/>
      <c r="HJ337" s="5"/>
      <c r="HK337" s="5"/>
      <c r="HL337" s="5"/>
      <c r="HM337" s="5"/>
      <c r="HN337" s="5"/>
      <c r="HO337" s="5"/>
      <c r="HP337" s="5"/>
      <c r="HQ337" s="5"/>
      <c r="HR337" s="5"/>
      <c r="HS337" s="5"/>
      <c r="HT337" s="5"/>
      <c r="HU337" s="5"/>
      <c r="HV337" s="5"/>
      <c r="HW337" s="5"/>
      <c r="HX337" s="5"/>
      <c r="HY337" s="5"/>
      <c r="HZ337" s="5"/>
      <c r="IA337" s="5"/>
      <c r="IB337" s="5"/>
      <c r="IC337" s="5"/>
      <c r="ID337" s="5"/>
    </row>
    <row r="338" spans="1:239" customHeight="1" ht="13.2"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  <c r="CG338" s="5"/>
      <c r="CH338" s="5"/>
      <c r="CI338" s="5"/>
      <c r="CJ338" s="5"/>
      <c r="CK338" s="5"/>
      <c r="CL338" s="5"/>
      <c r="CM338" s="5"/>
      <c r="CN338" s="5"/>
      <c r="CO338" s="5"/>
      <c r="CP338" s="5"/>
      <c r="CQ338" s="5"/>
      <c r="CR338" s="5"/>
      <c r="CS338" s="5"/>
      <c r="CT338" s="5"/>
      <c r="CU338" s="5"/>
      <c r="CV338" s="5"/>
      <c r="CW338" s="5"/>
      <c r="CX338" s="5"/>
      <c r="CY338" s="5"/>
      <c r="CZ338" s="5"/>
      <c r="DA338" s="5"/>
      <c r="DB338" s="5"/>
      <c r="DC338" s="5"/>
      <c r="DD338" s="5"/>
      <c r="DE338" s="5"/>
      <c r="DF338" s="5"/>
      <c r="DG338" s="5"/>
      <c r="DH338" s="5"/>
      <c r="DI338" s="5"/>
      <c r="DJ338" s="5"/>
      <c r="DK338" s="5"/>
      <c r="DL338" s="5"/>
      <c r="DM338" s="5"/>
      <c r="DN338" s="5"/>
      <c r="DO338" s="5"/>
      <c r="DP338" s="5"/>
      <c r="DQ338" s="5"/>
      <c r="DR338" s="5"/>
      <c r="DS338" s="5"/>
      <c r="DT338" s="5"/>
      <c r="DU338" s="5"/>
      <c r="DV338" s="5"/>
      <c r="DW338" s="5"/>
      <c r="DX338" s="5"/>
      <c r="DY338" s="5"/>
      <c r="DZ338" s="5"/>
      <c r="EA338" s="5"/>
      <c r="EB338" s="5"/>
      <c r="EC338" s="5"/>
      <c r="ED338" s="5"/>
      <c r="EE338" s="5"/>
      <c r="EF338" s="5"/>
      <c r="EG338" s="5"/>
      <c r="EH338" s="5"/>
      <c r="EI338" s="5"/>
      <c r="EJ338" s="5"/>
      <c r="EK338" s="5"/>
      <c r="EL338" s="5"/>
      <c r="EM338" s="5"/>
      <c r="EN338" s="5"/>
      <c r="EO338" s="5"/>
      <c r="EP338" s="5"/>
      <c r="EQ338" s="5"/>
      <c r="ER338" s="5"/>
      <c r="ES338" s="5"/>
      <c r="ET338" s="5"/>
      <c r="EU338" s="5"/>
      <c r="EV338" s="5"/>
      <c r="EW338" s="5"/>
      <c r="EX338" s="5"/>
      <c r="EY338" s="5"/>
      <c r="EZ338" s="5"/>
      <c r="FA338" s="5"/>
      <c r="FB338" s="5"/>
      <c r="FC338" s="5"/>
      <c r="FD338" s="5"/>
      <c r="FE338" s="5"/>
      <c r="FF338" s="5"/>
      <c r="FG338" s="5"/>
      <c r="FH338" s="5"/>
      <c r="FI338" s="5"/>
      <c r="FJ338" s="5"/>
      <c r="FK338" s="5"/>
      <c r="FL338" s="5"/>
      <c r="FM338" s="5"/>
      <c r="FN338" s="5"/>
      <c r="FO338" s="5"/>
      <c r="FP338" s="5"/>
      <c r="FQ338" s="5"/>
      <c r="FR338" s="5"/>
      <c r="FS338" s="5"/>
      <c r="FT338" s="5"/>
      <c r="FU338" s="5"/>
      <c r="FV338" s="5"/>
      <c r="FW338" s="5"/>
      <c r="FX338" s="5"/>
      <c r="FY338" s="5"/>
      <c r="FZ338" s="5"/>
      <c r="GA338" s="5"/>
      <c r="GB338" s="5"/>
      <c r="GC338" s="5"/>
      <c r="GD338" s="5"/>
      <c r="GE338" s="5"/>
      <c r="GF338" s="5"/>
      <c r="GG338" s="5"/>
      <c r="GH338" s="5"/>
      <c r="GI338" s="5"/>
      <c r="GJ338" s="5"/>
      <c r="GK338" s="5"/>
      <c r="GL338" s="5"/>
      <c r="GM338" s="5"/>
      <c r="GN338" s="5"/>
      <c r="GO338" s="5"/>
      <c r="GP338" s="5"/>
      <c r="GQ338" s="5"/>
      <c r="GR338" s="5"/>
      <c r="GS338" s="5"/>
      <c r="GT338" s="5"/>
      <c r="GU338" s="5"/>
      <c r="GV338" s="5"/>
      <c r="GW338" s="5"/>
      <c r="GX338" s="5"/>
      <c r="GY338" s="5"/>
      <c r="GZ338" s="5"/>
      <c r="HA338" s="5"/>
      <c r="HB338" s="5"/>
      <c r="HC338" s="5"/>
      <c r="HD338" s="5"/>
      <c r="HE338" s="5"/>
      <c r="HF338" s="5"/>
      <c r="HG338" s="5"/>
      <c r="HH338" s="5"/>
      <c r="HI338" s="5"/>
      <c r="HJ338" s="5"/>
      <c r="HK338" s="5"/>
      <c r="HL338" s="5"/>
      <c r="HM338" s="5"/>
      <c r="HN338" s="5"/>
      <c r="HO338" s="5"/>
      <c r="HP338" s="5"/>
      <c r="HQ338" s="5"/>
      <c r="HR338" s="5"/>
      <c r="HS338" s="5"/>
      <c r="HT338" s="5"/>
      <c r="HU338" s="5"/>
      <c r="HV338" s="5"/>
      <c r="HW338" s="5"/>
      <c r="HX338" s="5"/>
      <c r="HY338" s="5"/>
      <c r="HZ338" s="5"/>
      <c r="IA338" s="5"/>
      <c r="IB338" s="5"/>
      <c r="IC338" s="5"/>
      <c r="ID338" s="5"/>
    </row>
    <row r="339" spans="1:239" customHeight="1" ht="13.2"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  <c r="BW339" s="5"/>
      <c r="BX339" s="5"/>
      <c r="BY339" s="5"/>
      <c r="BZ339" s="5"/>
      <c r="CA339" s="5"/>
      <c r="CB339" s="5"/>
      <c r="CC339" s="5"/>
      <c r="CD339" s="5"/>
      <c r="CE339" s="5"/>
      <c r="CF339" s="5"/>
      <c r="CG339" s="5"/>
      <c r="CH339" s="5"/>
      <c r="CI339" s="5"/>
      <c r="CJ339" s="5"/>
      <c r="CK339" s="5"/>
      <c r="CL339" s="5"/>
      <c r="CM339" s="5"/>
      <c r="CN339" s="5"/>
      <c r="CO339" s="5"/>
      <c r="CP339" s="5"/>
      <c r="CQ339" s="5"/>
      <c r="CR339" s="5"/>
      <c r="CS339" s="5"/>
      <c r="CT339" s="5"/>
      <c r="CU339" s="5"/>
      <c r="CV339" s="5"/>
      <c r="CW339" s="5"/>
      <c r="CX339" s="5"/>
      <c r="CY339" s="5"/>
      <c r="CZ339" s="5"/>
      <c r="DA339" s="5"/>
      <c r="DB339" s="5"/>
      <c r="DC339" s="5"/>
      <c r="DD339" s="5"/>
      <c r="DE339" s="5"/>
      <c r="DF339" s="5"/>
      <c r="DG339" s="5"/>
      <c r="DH339" s="5"/>
      <c r="DI339" s="5"/>
      <c r="DJ339" s="5"/>
      <c r="DK339" s="5"/>
      <c r="DL339" s="5"/>
      <c r="DM339" s="5"/>
      <c r="DN339" s="5"/>
      <c r="DO339" s="5"/>
      <c r="DP339" s="5"/>
      <c r="DQ339" s="5"/>
      <c r="DR339" s="5"/>
      <c r="DS339" s="5"/>
      <c r="DT339" s="5"/>
      <c r="DU339" s="5"/>
      <c r="DV339" s="5"/>
      <c r="DW339" s="5"/>
      <c r="DX339" s="5"/>
      <c r="DY339" s="5"/>
      <c r="DZ339" s="5"/>
      <c r="EA339" s="5"/>
      <c r="EB339" s="5"/>
      <c r="EC339" s="5"/>
      <c r="ED339" s="5"/>
      <c r="EE339" s="5"/>
      <c r="EF339" s="5"/>
      <c r="EG339" s="5"/>
      <c r="EH339" s="5"/>
      <c r="EI339" s="5"/>
      <c r="EJ339" s="5"/>
      <c r="EK339" s="5"/>
      <c r="EL339" s="5"/>
      <c r="EM339" s="5"/>
      <c r="EN339" s="5"/>
      <c r="EO339" s="5"/>
      <c r="EP339" s="5"/>
      <c r="EQ339" s="5"/>
      <c r="ER339" s="5"/>
      <c r="ES339" s="5"/>
      <c r="ET339" s="5"/>
      <c r="EU339" s="5"/>
      <c r="EV339" s="5"/>
      <c r="EW339" s="5"/>
      <c r="EX339" s="5"/>
      <c r="EY339" s="5"/>
      <c r="EZ339" s="5"/>
      <c r="FA339" s="5"/>
      <c r="FB339" s="5"/>
      <c r="FC339" s="5"/>
      <c r="FD339" s="5"/>
      <c r="FE339" s="5"/>
      <c r="FF339" s="5"/>
      <c r="FG339" s="5"/>
      <c r="FH339" s="5"/>
      <c r="FI339" s="5"/>
      <c r="FJ339" s="5"/>
      <c r="FK339" s="5"/>
      <c r="FL339" s="5"/>
      <c r="FM339" s="5"/>
      <c r="FN339" s="5"/>
      <c r="FO339" s="5"/>
      <c r="FP339" s="5"/>
      <c r="FQ339" s="5"/>
      <c r="FR339" s="5"/>
      <c r="FS339" s="5"/>
      <c r="FT339" s="5"/>
      <c r="FU339" s="5"/>
      <c r="FV339" s="5"/>
      <c r="FW339" s="5"/>
      <c r="FX339" s="5"/>
      <c r="FY339" s="5"/>
      <c r="FZ339" s="5"/>
      <c r="GA339" s="5"/>
      <c r="GB339" s="5"/>
      <c r="GC339" s="5"/>
      <c r="GD339" s="5"/>
      <c r="GE339" s="5"/>
      <c r="GF339" s="5"/>
      <c r="GG339" s="5"/>
      <c r="GH339" s="5"/>
      <c r="GI339" s="5"/>
      <c r="GJ339" s="5"/>
      <c r="GK339" s="5"/>
      <c r="GL339" s="5"/>
      <c r="GM339" s="5"/>
      <c r="GN339" s="5"/>
      <c r="GO339" s="5"/>
      <c r="GP339" s="5"/>
      <c r="GQ339" s="5"/>
      <c r="GR339" s="5"/>
      <c r="GS339" s="5"/>
      <c r="GT339" s="5"/>
      <c r="GU339" s="5"/>
      <c r="GV339" s="5"/>
      <c r="GW339" s="5"/>
      <c r="GX339" s="5"/>
      <c r="GY339" s="5"/>
      <c r="GZ339" s="5"/>
      <c r="HA339" s="5"/>
      <c r="HB339" s="5"/>
      <c r="HC339" s="5"/>
      <c r="HD339" s="5"/>
      <c r="HE339" s="5"/>
      <c r="HF339" s="5"/>
      <c r="HG339" s="5"/>
      <c r="HH339" s="5"/>
      <c r="HI339" s="5"/>
      <c r="HJ339" s="5"/>
      <c r="HK339" s="5"/>
      <c r="HL339" s="5"/>
      <c r="HM339" s="5"/>
      <c r="HN339" s="5"/>
      <c r="HO339" s="5"/>
      <c r="HP339" s="5"/>
      <c r="HQ339" s="5"/>
      <c r="HR339" s="5"/>
      <c r="HS339" s="5"/>
      <c r="HT339" s="5"/>
      <c r="HU339" s="5"/>
      <c r="HV339" s="5"/>
      <c r="HW339" s="5"/>
      <c r="HX339" s="5"/>
      <c r="HY339" s="5"/>
      <c r="HZ339" s="5"/>
      <c r="IA339" s="5"/>
      <c r="IB339" s="5"/>
      <c r="IC339" s="5"/>
      <c r="ID339" s="5"/>
    </row>
    <row r="340" spans="1:239" customHeight="1" ht="13.2"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/>
      <c r="BZ340" s="5"/>
      <c r="CA340" s="5"/>
      <c r="CB340" s="5"/>
      <c r="CC340" s="5"/>
      <c r="CD340" s="5"/>
      <c r="CE340" s="5"/>
      <c r="CF340" s="5"/>
      <c r="CG340" s="5"/>
      <c r="CH340" s="5"/>
      <c r="CI340" s="5"/>
      <c r="CJ340" s="5"/>
      <c r="CK340" s="5"/>
      <c r="CL340" s="5"/>
      <c r="CM340" s="5"/>
      <c r="CN340" s="5"/>
      <c r="CO340" s="5"/>
      <c r="CP340" s="5"/>
      <c r="CQ340" s="5"/>
      <c r="CR340" s="5"/>
      <c r="CS340" s="5"/>
      <c r="CT340" s="5"/>
      <c r="CU340" s="5"/>
      <c r="CV340" s="5"/>
      <c r="CW340" s="5"/>
      <c r="CX340" s="5"/>
      <c r="CY340" s="5"/>
      <c r="CZ340" s="5"/>
      <c r="DA340" s="5"/>
      <c r="DB340" s="5"/>
      <c r="DC340" s="5"/>
      <c r="DD340" s="5"/>
      <c r="DE340" s="5"/>
      <c r="DF340" s="5"/>
      <c r="DG340" s="5"/>
      <c r="DH340" s="5"/>
      <c r="DI340" s="5"/>
      <c r="DJ340" s="5"/>
      <c r="DK340" s="5"/>
      <c r="DL340" s="5"/>
      <c r="DM340" s="5"/>
      <c r="DN340" s="5"/>
      <c r="DO340" s="5"/>
      <c r="DP340" s="5"/>
      <c r="DQ340" s="5"/>
      <c r="DR340" s="5"/>
      <c r="DS340" s="5"/>
      <c r="DT340" s="5"/>
      <c r="DU340" s="5"/>
      <c r="DV340" s="5"/>
      <c r="DW340" s="5"/>
      <c r="DX340" s="5"/>
      <c r="DY340" s="5"/>
      <c r="DZ340" s="5"/>
      <c r="EA340" s="5"/>
      <c r="EB340" s="5"/>
      <c r="EC340" s="5"/>
      <c r="ED340" s="5"/>
      <c r="EE340" s="5"/>
      <c r="EF340" s="5"/>
      <c r="EG340" s="5"/>
      <c r="EH340" s="5"/>
      <c r="EI340" s="5"/>
      <c r="EJ340" s="5"/>
      <c r="EK340" s="5"/>
      <c r="EL340" s="5"/>
      <c r="EM340" s="5"/>
      <c r="EN340" s="5"/>
      <c r="EO340" s="5"/>
      <c r="EP340" s="5"/>
      <c r="EQ340" s="5"/>
      <c r="ER340" s="5"/>
      <c r="ES340" s="5"/>
      <c r="ET340" s="5"/>
      <c r="EU340" s="5"/>
      <c r="EV340" s="5"/>
      <c r="EW340" s="5"/>
      <c r="EX340" s="5"/>
      <c r="EY340" s="5"/>
      <c r="EZ340" s="5"/>
      <c r="FA340" s="5"/>
      <c r="FB340" s="5"/>
      <c r="FC340" s="5"/>
      <c r="FD340" s="5"/>
      <c r="FE340" s="5"/>
      <c r="FF340" s="5"/>
      <c r="FG340" s="5"/>
      <c r="FH340" s="5"/>
      <c r="FI340" s="5"/>
      <c r="FJ340" s="5"/>
      <c r="FK340" s="5"/>
      <c r="FL340" s="5"/>
      <c r="FM340" s="5"/>
      <c r="FN340" s="5"/>
      <c r="FO340" s="5"/>
      <c r="FP340" s="5"/>
      <c r="FQ340" s="5"/>
      <c r="FR340" s="5"/>
      <c r="FS340" s="5"/>
      <c r="FT340" s="5"/>
      <c r="FU340" s="5"/>
      <c r="FV340" s="5"/>
      <c r="FW340" s="5"/>
      <c r="FX340" s="5"/>
      <c r="FY340" s="5"/>
      <c r="FZ340" s="5"/>
      <c r="GA340" s="5"/>
      <c r="GB340" s="5"/>
      <c r="GC340" s="5"/>
      <c r="GD340" s="5"/>
      <c r="GE340" s="5"/>
      <c r="GF340" s="5"/>
      <c r="GG340" s="5"/>
      <c r="GH340" s="5"/>
      <c r="GI340" s="5"/>
      <c r="GJ340" s="5"/>
      <c r="GK340" s="5"/>
      <c r="GL340" s="5"/>
      <c r="GM340" s="5"/>
      <c r="GN340" s="5"/>
      <c r="GO340" s="5"/>
      <c r="GP340" s="5"/>
      <c r="GQ340" s="5"/>
      <c r="GR340" s="5"/>
      <c r="GS340" s="5"/>
      <c r="GT340" s="5"/>
      <c r="GU340" s="5"/>
      <c r="GV340" s="5"/>
      <c r="GW340" s="5"/>
      <c r="GX340" s="5"/>
      <c r="GY340" s="5"/>
      <c r="GZ340" s="5"/>
      <c r="HA340" s="5"/>
      <c r="HB340" s="5"/>
      <c r="HC340" s="5"/>
      <c r="HD340" s="5"/>
      <c r="HE340" s="5"/>
      <c r="HF340" s="5"/>
      <c r="HG340" s="5"/>
      <c r="HH340" s="5"/>
      <c r="HI340" s="5"/>
      <c r="HJ340" s="5"/>
      <c r="HK340" s="5"/>
      <c r="HL340" s="5"/>
      <c r="HM340" s="5"/>
      <c r="HN340" s="5"/>
      <c r="HO340" s="5"/>
      <c r="HP340" s="5"/>
      <c r="HQ340" s="5"/>
      <c r="HR340" s="5"/>
      <c r="HS340" s="5"/>
      <c r="HT340" s="5"/>
      <c r="HU340" s="5"/>
      <c r="HV340" s="5"/>
      <c r="HW340" s="5"/>
      <c r="HX340" s="5"/>
      <c r="HY340" s="5"/>
      <c r="HZ340" s="5"/>
      <c r="IA340" s="5"/>
      <c r="IB340" s="5"/>
      <c r="IC340" s="5"/>
      <c r="ID340" s="5"/>
    </row>
    <row r="341" spans="1:239" customHeight="1" ht="13.2"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/>
      <c r="BZ341" s="5"/>
      <c r="CA341" s="5"/>
      <c r="CB341" s="5"/>
      <c r="CC341" s="5"/>
      <c r="CD341" s="5"/>
      <c r="CE341" s="5"/>
      <c r="CF341" s="5"/>
      <c r="CG341" s="5"/>
      <c r="CH341" s="5"/>
      <c r="CI341" s="5"/>
      <c r="CJ341" s="5"/>
      <c r="CK341" s="5"/>
      <c r="CL341" s="5"/>
      <c r="CM341" s="5"/>
      <c r="CN341" s="5"/>
      <c r="CO341" s="5"/>
      <c r="CP341" s="5"/>
      <c r="CQ341" s="5"/>
      <c r="CR341" s="5"/>
      <c r="CS341" s="5"/>
      <c r="CT341" s="5"/>
      <c r="CU341" s="5"/>
      <c r="CV341" s="5"/>
      <c r="CW341" s="5"/>
      <c r="CX341" s="5"/>
      <c r="CY341" s="5"/>
      <c r="CZ341" s="5"/>
      <c r="DA341" s="5"/>
      <c r="DB341" s="5"/>
      <c r="DC341" s="5"/>
      <c r="DD341" s="5"/>
      <c r="DE341" s="5"/>
      <c r="DF341" s="5"/>
      <c r="DG341" s="5"/>
      <c r="DH341" s="5"/>
      <c r="DI341" s="5"/>
      <c r="DJ341" s="5"/>
      <c r="DK341" s="5"/>
      <c r="DL341" s="5"/>
      <c r="DM341" s="5"/>
      <c r="DN341" s="5"/>
      <c r="DO341" s="5"/>
      <c r="DP341" s="5"/>
      <c r="DQ341" s="5"/>
      <c r="DR341" s="5"/>
      <c r="DS341" s="5"/>
      <c r="DT341" s="5"/>
      <c r="DU341" s="5"/>
      <c r="DV341" s="5"/>
      <c r="DW341" s="5"/>
      <c r="DX341" s="5"/>
      <c r="DY341" s="5"/>
      <c r="DZ341" s="5"/>
      <c r="EA341" s="5"/>
      <c r="EB341" s="5"/>
      <c r="EC341" s="5"/>
      <c r="ED341" s="5"/>
      <c r="EE341" s="5"/>
      <c r="EF341" s="5"/>
      <c r="EG341" s="5"/>
      <c r="EH341" s="5"/>
      <c r="EI341" s="5"/>
      <c r="EJ341" s="5"/>
      <c r="EK341" s="5"/>
      <c r="EL341" s="5"/>
      <c r="EM341" s="5"/>
      <c r="EN341" s="5"/>
      <c r="EO341" s="5"/>
      <c r="EP341" s="5"/>
      <c r="EQ341" s="5"/>
      <c r="ER341" s="5"/>
      <c r="ES341" s="5"/>
      <c r="ET341" s="5"/>
      <c r="EU341" s="5"/>
      <c r="EV341" s="5"/>
      <c r="EW341" s="5"/>
      <c r="EX341" s="5"/>
      <c r="EY341" s="5"/>
      <c r="EZ341" s="5"/>
      <c r="FA341" s="5"/>
      <c r="FB341" s="5"/>
      <c r="FC341" s="5"/>
      <c r="FD341" s="5"/>
      <c r="FE341" s="5"/>
      <c r="FF341" s="5"/>
      <c r="FG341" s="5"/>
      <c r="FH341" s="5"/>
      <c r="FI341" s="5"/>
      <c r="FJ341" s="5"/>
      <c r="FK341" s="5"/>
      <c r="FL341" s="5"/>
      <c r="FM341" s="5"/>
      <c r="FN341" s="5"/>
      <c r="FO341" s="5"/>
      <c r="FP341" s="5"/>
      <c r="FQ341" s="5"/>
      <c r="FR341" s="5"/>
      <c r="FS341" s="5"/>
      <c r="FT341" s="5"/>
      <c r="FU341" s="5"/>
      <c r="FV341" s="5"/>
      <c r="FW341" s="5"/>
      <c r="FX341" s="5"/>
      <c r="FY341" s="5"/>
      <c r="FZ341" s="5"/>
      <c r="GA341" s="5"/>
      <c r="GB341" s="5"/>
      <c r="GC341" s="5"/>
      <c r="GD341" s="5"/>
      <c r="GE341" s="5"/>
      <c r="GF341" s="5"/>
      <c r="GG341" s="5"/>
      <c r="GH341" s="5"/>
      <c r="GI341" s="5"/>
      <c r="GJ341" s="5"/>
      <c r="GK341" s="5"/>
      <c r="GL341" s="5"/>
      <c r="GM341" s="5"/>
      <c r="GN341" s="5"/>
      <c r="GO341" s="5"/>
      <c r="GP341" s="5"/>
      <c r="GQ341" s="5"/>
      <c r="GR341" s="5"/>
      <c r="GS341" s="5"/>
      <c r="GT341" s="5"/>
      <c r="GU341" s="5"/>
      <c r="GV341" s="5"/>
      <c r="GW341" s="5"/>
      <c r="GX341" s="5"/>
      <c r="GY341" s="5"/>
      <c r="GZ341" s="5"/>
      <c r="HA341" s="5"/>
      <c r="HB341" s="5"/>
      <c r="HC341" s="5"/>
      <c r="HD341" s="5"/>
      <c r="HE341" s="5"/>
      <c r="HF341" s="5"/>
      <c r="HG341" s="5"/>
      <c r="HH341" s="5"/>
      <c r="HI341" s="5"/>
      <c r="HJ341" s="5"/>
      <c r="HK341" s="5"/>
      <c r="HL341" s="5"/>
      <c r="HM341" s="5"/>
      <c r="HN341" s="5"/>
      <c r="HO341" s="5"/>
      <c r="HP341" s="5"/>
      <c r="HQ341" s="5"/>
      <c r="HR341" s="5"/>
      <c r="HS341" s="5"/>
      <c r="HT341" s="5"/>
      <c r="HU341" s="5"/>
      <c r="HV341" s="5"/>
      <c r="HW341" s="5"/>
      <c r="HX341" s="5"/>
      <c r="HY341" s="5"/>
      <c r="HZ341" s="5"/>
      <c r="IA341" s="5"/>
      <c r="IB341" s="5"/>
      <c r="IC341" s="5"/>
      <c r="ID341" s="5"/>
    </row>
    <row r="342" spans="1:239" customHeight="1" ht="13.2"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5"/>
      <c r="BZ342" s="5"/>
      <c r="CA342" s="5"/>
      <c r="CB342" s="5"/>
      <c r="CC342" s="5"/>
      <c r="CD342" s="5"/>
      <c r="CE342" s="5"/>
      <c r="CF342" s="5"/>
      <c r="CG342" s="5"/>
      <c r="CH342" s="5"/>
      <c r="CI342" s="5"/>
      <c r="CJ342" s="5"/>
      <c r="CK342" s="5"/>
      <c r="CL342" s="5"/>
      <c r="CM342" s="5"/>
      <c r="CN342" s="5"/>
      <c r="CO342" s="5"/>
      <c r="CP342" s="5"/>
      <c r="CQ342" s="5"/>
      <c r="CR342" s="5"/>
      <c r="CS342" s="5"/>
      <c r="CT342" s="5"/>
      <c r="CU342" s="5"/>
      <c r="CV342" s="5"/>
      <c r="CW342" s="5"/>
      <c r="CX342" s="5"/>
      <c r="CY342" s="5"/>
      <c r="CZ342" s="5"/>
      <c r="DA342" s="5"/>
      <c r="DB342" s="5"/>
      <c r="DC342" s="5"/>
      <c r="DD342" s="5"/>
      <c r="DE342" s="5"/>
      <c r="DF342" s="5"/>
      <c r="DG342" s="5"/>
      <c r="DH342" s="5"/>
      <c r="DI342" s="5"/>
      <c r="DJ342" s="5"/>
      <c r="DK342" s="5"/>
      <c r="DL342" s="5"/>
      <c r="DM342" s="5"/>
      <c r="DN342" s="5"/>
      <c r="DO342" s="5"/>
      <c r="DP342" s="5"/>
      <c r="DQ342" s="5"/>
      <c r="DR342" s="5"/>
      <c r="DS342" s="5"/>
      <c r="DT342" s="5"/>
      <c r="DU342" s="5"/>
      <c r="DV342" s="5"/>
      <c r="DW342" s="5"/>
      <c r="DX342" s="5"/>
      <c r="DY342" s="5"/>
      <c r="DZ342" s="5"/>
      <c r="EA342" s="5"/>
      <c r="EB342" s="5"/>
      <c r="EC342" s="5"/>
      <c r="ED342" s="5"/>
      <c r="EE342" s="5"/>
      <c r="EF342" s="5"/>
      <c r="EG342" s="5"/>
      <c r="EH342" s="5"/>
      <c r="EI342" s="5"/>
      <c r="EJ342" s="5"/>
      <c r="EK342" s="5"/>
      <c r="EL342" s="5"/>
      <c r="EM342" s="5"/>
      <c r="EN342" s="5"/>
      <c r="EO342" s="5"/>
      <c r="EP342" s="5"/>
      <c r="EQ342" s="5"/>
      <c r="ER342" s="5"/>
      <c r="ES342" s="5"/>
      <c r="ET342" s="5"/>
      <c r="EU342" s="5"/>
      <c r="EV342" s="5"/>
      <c r="EW342" s="5"/>
      <c r="EX342" s="5"/>
      <c r="EY342" s="5"/>
      <c r="EZ342" s="5"/>
      <c r="FA342" s="5"/>
      <c r="FB342" s="5"/>
      <c r="FC342" s="5"/>
      <c r="FD342" s="5"/>
      <c r="FE342" s="5"/>
      <c r="FF342" s="5"/>
      <c r="FG342" s="5"/>
      <c r="FH342" s="5"/>
      <c r="FI342" s="5"/>
      <c r="FJ342" s="5"/>
      <c r="FK342" s="5"/>
      <c r="FL342" s="5"/>
      <c r="FM342" s="5"/>
      <c r="FN342" s="5"/>
      <c r="FO342" s="5"/>
      <c r="FP342" s="5"/>
      <c r="FQ342" s="5"/>
      <c r="FR342" s="5"/>
      <c r="FS342" s="5"/>
      <c r="FT342" s="5"/>
      <c r="FU342" s="5"/>
      <c r="FV342" s="5"/>
      <c r="FW342" s="5"/>
      <c r="FX342" s="5"/>
      <c r="FY342" s="5"/>
      <c r="FZ342" s="5"/>
      <c r="GA342" s="5"/>
      <c r="GB342" s="5"/>
      <c r="GC342" s="5"/>
      <c r="GD342" s="5"/>
      <c r="GE342" s="5"/>
      <c r="GF342" s="5"/>
      <c r="GG342" s="5"/>
      <c r="GH342" s="5"/>
      <c r="GI342" s="5"/>
      <c r="GJ342" s="5"/>
      <c r="GK342" s="5"/>
      <c r="GL342" s="5"/>
      <c r="GM342" s="5"/>
      <c r="GN342" s="5"/>
      <c r="GO342" s="5"/>
      <c r="GP342" s="5"/>
      <c r="GQ342" s="5"/>
      <c r="GR342" s="5"/>
      <c r="GS342" s="5"/>
      <c r="GT342" s="5"/>
      <c r="GU342" s="5"/>
      <c r="GV342" s="5"/>
      <c r="GW342" s="5"/>
      <c r="GX342" s="5"/>
      <c r="GY342" s="5"/>
      <c r="GZ342" s="5"/>
      <c r="HA342" s="5"/>
      <c r="HB342" s="5"/>
      <c r="HC342" s="5"/>
      <c r="HD342" s="5"/>
      <c r="HE342" s="5"/>
      <c r="HF342" s="5"/>
      <c r="HG342" s="5"/>
      <c r="HH342" s="5"/>
      <c r="HI342" s="5"/>
      <c r="HJ342" s="5"/>
      <c r="HK342" s="5"/>
      <c r="HL342" s="5"/>
      <c r="HM342" s="5"/>
      <c r="HN342" s="5"/>
      <c r="HO342" s="5"/>
      <c r="HP342" s="5"/>
      <c r="HQ342" s="5"/>
      <c r="HR342" s="5"/>
      <c r="HS342" s="5"/>
      <c r="HT342" s="5"/>
      <c r="HU342" s="5"/>
      <c r="HV342" s="5"/>
      <c r="HW342" s="5"/>
      <c r="HX342" s="5"/>
      <c r="HY342" s="5"/>
      <c r="HZ342" s="5"/>
      <c r="IA342" s="5"/>
      <c r="IB342" s="5"/>
      <c r="IC342" s="5"/>
      <c r="ID342" s="5"/>
    </row>
    <row r="343" spans="1:239" customHeight="1" ht="13.2"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/>
      <c r="BZ343" s="5"/>
      <c r="CA343" s="5"/>
      <c r="CB343" s="5"/>
      <c r="CC343" s="5"/>
      <c r="CD343" s="5"/>
      <c r="CE343" s="5"/>
      <c r="CF343" s="5"/>
      <c r="CG343" s="5"/>
      <c r="CH343" s="5"/>
      <c r="CI343" s="5"/>
      <c r="CJ343" s="5"/>
      <c r="CK343" s="5"/>
      <c r="CL343" s="5"/>
      <c r="CM343" s="5"/>
      <c r="CN343" s="5"/>
      <c r="CO343" s="5"/>
      <c r="CP343" s="5"/>
      <c r="CQ343" s="5"/>
      <c r="CR343" s="5"/>
      <c r="CS343" s="5"/>
      <c r="CT343" s="5"/>
      <c r="CU343" s="5"/>
      <c r="CV343" s="5"/>
      <c r="CW343" s="5"/>
      <c r="CX343" s="5"/>
      <c r="CY343" s="5"/>
      <c r="CZ343" s="5"/>
      <c r="DA343" s="5"/>
      <c r="DB343" s="5"/>
      <c r="DC343" s="5"/>
      <c r="DD343" s="5"/>
      <c r="DE343" s="5"/>
      <c r="DF343" s="5"/>
      <c r="DG343" s="5"/>
      <c r="DH343" s="5"/>
      <c r="DI343" s="5"/>
      <c r="DJ343" s="5"/>
      <c r="DK343" s="5"/>
      <c r="DL343" s="5"/>
      <c r="DM343" s="5"/>
      <c r="DN343" s="5"/>
      <c r="DO343" s="5"/>
      <c r="DP343" s="5"/>
      <c r="DQ343" s="5"/>
      <c r="DR343" s="5"/>
      <c r="DS343" s="5"/>
      <c r="DT343" s="5"/>
      <c r="DU343" s="5"/>
      <c r="DV343" s="5"/>
      <c r="DW343" s="5"/>
      <c r="DX343" s="5"/>
      <c r="DY343" s="5"/>
      <c r="DZ343" s="5"/>
      <c r="EA343" s="5"/>
      <c r="EB343" s="5"/>
      <c r="EC343" s="5"/>
      <c r="ED343" s="5"/>
      <c r="EE343" s="5"/>
      <c r="EF343" s="5"/>
      <c r="EG343" s="5"/>
      <c r="EH343" s="5"/>
      <c r="EI343" s="5"/>
      <c r="EJ343" s="5"/>
      <c r="EK343" s="5"/>
      <c r="EL343" s="5"/>
      <c r="EM343" s="5"/>
      <c r="EN343" s="5"/>
      <c r="EO343" s="5"/>
      <c r="EP343" s="5"/>
      <c r="EQ343" s="5"/>
      <c r="ER343" s="5"/>
      <c r="ES343" s="5"/>
      <c r="ET343" s="5"/>
      <c r="EU343" s="5"/>
      <c r="EV343" s="5"/>
      <c r="EW343" s="5"/>
      <c r="EX343" s="5"/>
      <c r="EY343" s="5"/>
      <c r="EZ343" s="5"/>
      <c r="FA343" s="5"/>
      <c r="FB343" s="5"/>
      <c r="FC343" s="5"/>
      <c r="FD343" s="5"/>
      <c r="FE343" s="5"/>
      <c r="FF343" s="5"/>
      <c r="FG343" s="5"/>
      <c r="FH343" s="5"/>
      <c r="FI343" s="5"/>
      <c r="FJ343" s="5"/>
      <c r="FK343" s="5"/>
      <c r="FL343" s="5"/>
      <c r="FM343" s="5"/>
      <c r="FN343" s="5"/>
      <c r="FO343" s="5"/>
      <c r="FP343" s="5"/>
      <c r="FQ343" s="5"/>
      <c r="FR343" s="5"/>
      <c r="FS343" s="5"/>
      <c r="FT343" s="5"/>
      <c r="FU343" s="5"/>
      <c r="FV343" s="5"/>
      <c r="FW343" s="5"/>
      <c r="FX343" s="5"/>
      <c r="FY343" s="5"/>
      <c r="FZ343" s="5"/>
      <c r="GA343" s="5"/>
      <c r="GB343" s="5"/>
      <c r="GC343" s="5"/>
      <c r="GD343" s="5"/>
      <c r="GE343" s="5"/>
      <c r="GF343" s="5"/>
      <c r="GG343" s="5"/>
      <c r="GH343" s="5"/>
      <c r="GI343" s="5"/>
      <c r="GJ343" s="5"/>
      <c r="GK343" s="5"/>
      <c r="GL343" s="5"/>
      <c r="GM343" s="5"/>
      <c r="GN343" s="5"/>
      <c r="GO343" s="5"/>
      <c r="GP343" s="5"/>
      <c r="GQ343" s="5"/>
      <c r="GR343" s="5"/>
      <c r="GS343" s="5"/>
      <c r="GT343" s="5"/>
      <c r="GU343" s="5"/>
      <c r="GV343" s="5"/>
      <c r="GW343" s="5"/>
      <c r="GX343" s="5"/>
      <c r="GY343" s="5"/>
      <c r="GZ343" s="5"/>
      <c r="HA343" s="5"/>
      <c r="HB343" s="5"/>
      <c r="HC343" s="5"/>
      <c r="HD343" s="5"/>
      <c r="HE343" s="5"/>
      <c r="HF343" s="5"/>
      <c r="HG343" s="5"/>
      <c r="HH343" s="5"/>
      <c r="HI343" s="5"/>
      <c r="HJ343" s="5"/>
      <c r="HK343" s="5"/>
      <c r="HL343" s="5"/>
      <c r="HM343" s="5"/>
      <c r="HN343" s="5"/>
      <c r="HO343" s="5"/>
      <c r="HP343" s="5"/>
      <c r="HQ343" s="5"/>
      <c r="HR343" s="5"/>
      <c r="HS343" s="5"/>
      <c r="HT343" s="5"/>
      <c r="HU343" s="5"/>
      <c r="HV343" s="5"/>
      <c r="HW343" s="5"/>
      <c r="HX343" s="5"/>
      <c r="HY343" s="5"/>
      <c r="HZ343" s="5"/>
      <c r="IA343" s="5"/>
      <c r="IB343" s="5"/>
      <c r="IC343" s="5"/>
      <c r="ID343" s="5"/>
    </row>
    <row r="344" spans="1:239" customHeight="1" ht="13.2"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  <c r="BW344" s="5"/>
      <c r="BX344" s="5"/>
      <c r="BY344" s="5"/>
      <c r="BZ344" s="5"/>
      <c r="CA344" s="5"/>
      <c r="CB344" s="5"/>
      <c r="CC344" s="5"/>
      <c r="CD344" s="5"/>
      <c r="CE344" s="5"/>
      <c r="CF344" s="5"/>
      <c r="CG344" s="5"/>
      <c r="CH344" s="5"/>
      <c r="CI344" s="5"/>
      <c r="CJ344" s="5"/>
      <c r="CK344" s="5"/>
      <c r="CL344" s="5"/>
      <c r="CM344" s="5"/>
      <c r="CN344" s="5"/>
      <c r="CO344" s="5"/>
      <c r="CP344" s="5"/>
      <c r="CQ344" s="5"/>
      <c r="CR344" s="5"/>
      <c r="CS344" s="5"/>
      <c r="CT344" s="5"/>
      <c r="CU344" s="5"/>
      <c r="CV344" s="5"/>
      <c r="CW344" s="5"/>
      <c r="CX344" s="5"/>
      <c r="CY344" s="5"/>
      <c r="CZ344" s="5"/>
      <c r="DA344" s="5"/>
      <c r="DB344" s="5"/>
      <c r="DC344" s="5"/>
      <c r="DD344" s="5"/>
      <c r="DE344" s="5"/>
      <c r="DF344" s="5"/>
      <c r="DG344" s="5"/>
      <c r="DH344" s="5"/>
      <c r="DI344" s="5"/>
      <c r="DJ344" s="5"/>
      <c r="DK344" s="5"/>
      <c r="DL344" s="5"/>
      <c r="DM344" s="5"/>
      <c r="DN344" s="5"/>
      <c r="DO344" s="5"/>
      <c r="DP344" s="5"/>
      <c r="DQ344" s="5"/>
      <c r="DR344" s="5"/>
      <c r="DS344" s="5"/>
      <c r="DT344" s="5"/>
      <c r="DU344" s="5"/>
      <c r="DV344" s="5"/>
      <c r="DW344" s="5"/>
      <c r="DX344" s="5"/>
      <c r="DY344" s="5"/>
      <c r="DZ344" s="5"/>
      <c r="EA344" s="5"/>
      <c r="EB344" s="5"/>
      <c r="EC344" s="5"/>
      <c r="ED344" s="5"/>
      <c r="EE344" s="5"/>
      <c r="EF344" s="5"/>
      <c r="EG344" s="5"/>
      <c r="EH344" s="5"/>
      <c r="EI344" s="5"/>
      <c r="EJ344" s="5"/>
      <c r="EK344" s="5"/>
      <c r="EL344" s="5"/>
      <c r="EM344" s="5"/>
      <c r="EN344" s="5"/>
      <c r="EO344" s="5"/>
      <c r="EP344" s="5"/>
      <c r="EQ344" s="5"/>
      <c r="ER344" s="5"/>
      <c r="ES344" s="5"/>
      <c r="ET344" s="5"/>
      <c r="EU344" s="5"/>
      <c r="EV344" s="5"/>
      <c r="EW344" s="5"/>
      <c r="EX344" s="5"/>
      <c r="EY344" s="5"/>
      <c r="EZ344" s="5"/>
      <c r="FA344" s="5"/>
      <c r="FB344" s="5"/>
      <c r="FC344" s="5"/>
      <c r="FD344" s="5"/>
      <c r="FE344" s="5"/>
      <c r="FF344" s="5"/>
      <c r="FG344" s="5"/>
      <c r="FH344" s="5"/>
      <c r="FI344" s="5"/>
      <c r="FJ344" s="5"/>
      <c r="FK344" s="5"/>
      <c r="FL344" s="5"/>
      <c r="FM344" s="5"/>
      <c r="FN344" s="5"/>
      <c r="FO344" s="5"/>
      <c r="FP344" s="5"/>
      <c r="FQ344" s="5"/>
      <c r="FR344" s="5"/>
      <c r="FS344" s="5"/>
      <c r="FT344" s="5"/>
      <c r="FU344" s="5"/>
      <c r="FV344" s="5"/>
      <c r="FW344" s="5"/>
      <c r="FX344" s="5"/>
      <c r="FY344" s="5"/>
      <c r="FZ344" s="5"/>
      <c r="GA344" s="5"/>
      <c r="GB344" s="5"/>
      <c r="GC344" s="5"/>
      <c r="GD344" s="5"/>
      <c r="GE344" s="5"/>
      <c r="GF344" s="5"/>
      <c r="GG344" s="5"/>
      <c r="GH344" s="5"/>
      <c r="GI344" s="5"/>
      <c r="GJ344" s="5"/>
      <c r="GK344" s="5"/>
      <c r="GL344" s="5"/>
      <c r="GM344" s="5"/>
      <c r="GN344" s="5"/>
      <c r="GO344" s="5"/>
      <c r="GP344" s="5"/>
      <c r="GQ344" s="5"/>
      <c r="GR344" s="5"/>
      <c r="GS344" s="5"/>
      <c r="GT344" s="5"/>
      <c r="GU344" s="5"/>
      <c r="GV344" s="5"/>
      <c r="GW344" s="5"/>
      <c r="GX344" s="5"/>
      <c r="GY344" s="5"/>
      <c r="GZ344" s="5"/>
      <c r="HA344" s="5"/>
      <c r="HB344" s="5"/>
      <c r="HC344" s="5"/>
      <c r="HD344" s="5"/>
      <c r="HE344" s="5"/>
      <c r="HF344" s="5"/>
      <c r="HG344" s="5"/>
      <c r="HH344" s="5"/>
      <c r="HI344" s="5"/>
      <c r="HJ344" s="5"/>
      <c r="HK344" s="5"/>
      <c r="HL344" s="5"/>
      <c r="HM344" s="5"/>
      <c r="HN344" s="5"/>
      <c r="HO344" s="5"/>
      <c r="HP344" s="5"/>
      <c r="HQ344" s="5"/>
      <c r="HR344" s="5"/>
      <c r="HS344" s="5"/>
      <c r="HT344" s="5"/>
      <c r="HU344" s="5"/>
      <c r="HV344" s="5"/>
      <c r="HW344" s="5"/>
      <c r="HX344" s="5"/>
      <c r="HY344" s="5"/>
      <c r="HZ344" s="5"/>
      <c r="IA344" s="5"/>
      <c r="IB344" s="5"/>
      <c r="IC344" s="5"/>
      <c r="ID344" s="5"/>
    </row>
    <row r="345" spans="1:239" customHeight="1" ht="13.2"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/>
      <c r="BZ345" s="5"/>
      <c r="CA345" s="5"/>
      <c r="CB345" s="5"/>
      <c r="CC345" s="5"/>
      <c r="CD345" s="5"/>
      <c r="CE345" s="5"/>
      <c r="CF345" s="5"/>
      <c r="CG345" s="5"/>
      <c r="CH345" s="5"/>
      <c r="CI345" s="5"/>
      <c r="CJ345" s="5"/>
      <c r="CK345" s="5"/>
      <c r="CL345" s="5"/>
      <c r="CM345" s="5"/>
      <c r="CN345" s="5"/>
      <c r="CO345" s="5"/>
      <c r="CP345" s="5"/>
      <c r="CQ345" s="5"/>
      <c r="CR345" s="5"/>
      <c r="CS345" s="5"/>
      <c r="CT345" s="5"/>
      <c r="CU345" s="5"/>
      <c r="CV345" s="5"/>
      <c r="CW345" s="5"/>
      <c r="CX345" s="5"/>
      <c r="CY345" s="5"/>
      <c r="CZ345" s="5"/>
      <c r="DA345" s="5"/>
      <c r="DB345" s="5"/>
      <c r="DC345" s="5"/>
      <c r="DD345" s="5"/>
      <c r="DE345" s="5"/>
      <c r="DF345" s="5"/>
      <c r="DG345" s="5"/>
      <c r="DH345" s="5"/>
      <c r="DI345" s="5"/>
      <c r="DJ345" s="5"/>
      <c r="DK345" s="5"/>
      <c r="DL345" s="5"/>
      <c r="DM345" s="5"/>
      <c r="DN345" s="5"/>
      <c r="DO345" s="5"/>
      <c r="DP345" s="5"/>
      <c r="DQ345" s="5"/>
      <c r="DR345" s="5"/>
      <c r="DS345" s="5"/>
      <c r="DT345" s="5"/>
      <c r="DU345" s="5"/>
      <c r="DV345" s="5"/>
      <c r="DW345" s="5"/>
      <c r="DX345" s="5"/>
      <c r="DY345" s="5"/>
      <c r="DZ345" s="5"/>
      <c r="EA345" s="5"/>
      <c r="EB345" s="5"/>
      <c r="EC345" s="5"/>
      <c r="ED345" s="5"/>
      <c r="EE345" s="5"/>
      <c r="EF345" s="5"/>
      <c r="EG345" s="5"/>
      <c r="EH345" s="5"/>
      <c r="EI345" s="5"/>
      <c r="EJ345" s="5"/>
      <c r="EK345" s="5"/>
      <c r="EL345" s="5"/>
      <c r="EM345" s="5"/>
      <c r="EN345" s="5"/>
      <c r="EO345" s="5"/>
      <c r="EP345" s="5"/>
      <c r="EQ345" s="5"/>
      <c r="ER345" s="5"/>
      <c r="ES345" s="5"/>
      <c r="ET345" s="5"/>
      <c r="EU345" s="5"/>
      <c r="EV345" s="5"/>
      <c r="EW345" s="5"/>
      <c r="EX345" s="5"/>
      <c r="EY345" s="5"/>
      <c r="EZ345" s="5"/>
      <c r="FA345" s="5"/>
      <c r="FB345" s="5"/>
      <c r="FC345" s="5"/>
      <c r="FD345" s="5"/>
      <c r="FE345" s="5"/>
      <c r="FF345" s="5"/>
      <c r="FG345" s="5"/>
      <c r="FH345" s="5"/>
      <c r="FI345" s="5"/>
      <c r="FJ345" s="5"/>
      <c r="FK345" s="5"/>
      <c r="FL345" s="5"/>
      <c r="FM345" s="5"/>
      <c r="FN345" s="5"/>
      <c r="FO345" s="5"/>
      <c r="FP345" s="5"/>
      <c r="FQ345" s="5"/>
      <c r="FR345" s="5"/>
      <c r="FS345" s="5"/>
      <c r="FT345" s="5"/>
      <c r="FU345" s="5"/>
      <c r="FV345" s="5"/>
      <c r="FW345" s="5"/>
      <c r="FX345" s="5"/>
      <c r="FY345" s="5"/>
      <c r="FZ345" s="5"/>
      <c r="GA345" s="5"/>
      <c r="GB345" s="5"/>
      <c r="GC345" s="5"/>
      <c r="GD345" s="5"/>
      <c r="GE345" s="5"/>
      <c r="GF345" s="5"/>
      <c r="GG345" s="5"/>
      <c r="GH345" s="5"/>
      <c r="GI345" s="5"/>
      <c r="GJ345" s="5"/>
      <c r="GK345" s="5"/>
      <c r="GL345" s="5"/>
      <c r="GM345" s="5"/>
      <c r="GN345" s="5"/>
      <c r="GO345" s="5"/>
      <c r="GP345" s="5"/>
      <c r="GQ345" s="5"/>
      <c r="GR345" s="5"/>
      <c r="GS345" s="5"/>
      <c r="GT345" s="5"/>
      <c r="GU345" s="5"/>
      <c r="GV345" s="5"/>
      <c r="GW345" s="5"/>
      <c r="GX345" s="5"/>
      <c r="GY345" s="5"/>
      <c r="GZ345" s="5"/>
      <c r="HA345" s="5"/>
      <c r="HB345" s="5"/>
      <c r="HC345" s="5"/>
      <c r="HD345" s="5"/>
      <c r="HE345" s="5"/>
      <c r="HF345" s="5"/>
      <c r="HG345" s="5"/>
      <c r="HH345" s="5"/>
      <c r="HI345" s="5"/>
      <c r="HJ345" s="5"/>
      <c r="HK345" s="5"/>
      <c r="HL345" s="5"/>
      <c r="HM345" s="5"/>
      <c r="HN345" s="5"/>
      <c r="HO345" s="5"/>
      <c r="HP345" s="5"/>
      <c r="HQ345" s="5"/>
      <c r="HR345" s="5"/>
      <c r="HS345" s="5"/>
      <c r="HT345" s="5"/>
      <c r="HU345" s="5"/>
      <c r="HV345" s="5"/>
      <c r="HW345" s="5"/>
      <c r="HX345" s="5"/>
      <c r="HY345" s="5"/>
      <c r="HZ345" s="5"/>
      <c r="IA345" s="5"/>
      <c r="IB345" s="5"/>
      <c r="IC345" s="5"/>
      <c r="ID345" s="5"/>
    </row>
    <row r="346" spans="1:239" customHeight="1" ht="13.2"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/>
      <c r="BZ346" s="5"/>
      <c r="CA346" s="5"/>
      <c r="CB346" s="5"/>
      <c r="CC346" s="5"/>
      <c r="CD346" s="5"/>
      <c r="CE346" s="5"/>
      <c r="CF346" s="5"/>
      <c r="CG346" s="5"/>
      <c r="CH346" s="5"/>
      <c r="CI346" s="5"/>
      <c r="CJ346" s="5"/>
      <c r="CK346" s="5"/>
      <c r="CL346" s="5"/>
      <c r="CM346" s="5"/>
      <c r="CN346" s="5"/>
      <c r="CO346" s="5"/>
      <c r="CP346" s="5"/>
      <c r="CQ346" s="5"/>
      <c r="CR346" s="5"/>
      <c r="CS346" s="5"/>
      <c r="CT346" s="5"/>
      <c r="CU346" s="5"/>
      <c r="CV346" s="5"/>
      <c r="CW346" s="5"/>
      <c r="CX346" s="5"/>
      <c r="CY346" s="5"/>
      <c r="CZ346" s="5"/>
      <c r="DA346" s="5"/>
      <c r="DB346" s="5"/>
      <c r="DC346" s="5"/>
      <c r="DD346" s="5"/>
      <c r="DE346" s="5"/>
      <c r="DF346" s="5"/>
      <c r="DG346" s="5"/>
      <c r="DH346" s="5"/>
      <c r="DI346" s="5"/>
      <c r="DJ346" s="5"/>
      <c r="DK346" s="5"/>
      <c r="DL346" s="5"/>
      <c r="DM346" s="5"/>
      <c r="DN346" s="5"/>
      <c r="DO346" s="5"/>
      <c r="DP346" s="5"/>
      <c r="DQ346" s="5"/>
      <c r="DR346" s="5"/>
      <c r="DS346" s="5"/>
      <c r="DT346" s="5"/>
      <c r="DU346" s="5"/>
      <c r="DV346" s="5"/>
      <c r="DW346" s="5"/>
      <c r="DX346" s="5"/>
      <c r="DY346" s="5"/>
      <c r="DZ346" s="5"/>
      <c r="EA346" s="5"/>
      <c r="EB346" s="5"/>
      <c r="EC346" s="5"/>
      <c r="ED346" s="5"/>
      <c r="EE346" s="5"/>
      <c r="EF346" s="5"/>
      <c r="EG346" s="5"/>
      <c r="EH346" s="5"/>
      <c r="EI346" s="5"/>
      <c r="EJ346" s="5"/>
      <c r="EK346" s="5"/>
      <c r="EL346" s="5"/>
      <c r="EM346" s="5"/>
      <c r="EN346" s="5"/>
      <c r="EO346" s="5"/>
      <c r="EP346" s="5"/>
      <c r="EQ346" s="5"/>
      <c r="ER346" s="5"/>
      <c r="ES346" s="5"/>
      <c r="ET346" s="5"/>
      <c r="EU346" s="5"/>
      <c r="EV346" s="5"/>
      <c r="EW346" s="5"/>
      <c r="EX346" s="5"/>
      <c r="EY346" s="5"/>
      <c r="EZ346" s="5"/>
      <c r="FA346" s="5"/>
      <c r="FB346" s="5"/>
      <c r="FC346" s="5"/>
      <c r="FD346" s="5"/>
      <c r="FE346" s="5"/>
      <c r="FF346" s="5"/>
      <c r="FG346" s="5"/>
      <c r="FH346" s="5"/>
      <c r="FI346" s="5"/>
      <c r="FJ346" s="5"/>
      <c r="FK346" s="5"/>
      <c r="FL346" s="5"/>
      <c r="FM346" s="5"/>
      <c r="FN346" s="5"/>
      <c r="FO346" s="5"/>
      <c r="FP346" s="5"/>
      <c r="FQ346" s="5"/>
      <c r="FR346" s="5"/>
      <c r="FS346" s="5"/>
      <c r="FT346" s="5"/>
      <c r="FU346" s="5"/>
      <c r="FV346" s="5"/>
      <c r="FW346" s="5"/>
      <c r="FX346" s="5"/>
      <c r="FY346" s="5"/>
      <c r="FZ346" s="5"/>
      <c r="GA346" s="5"/>
      <c r="GB346" s="5"/>
      <c r="GC346" s="5"/>
      <c r="GD346" s="5"/>
      <c r="GE346" s="5"/>
      <c r="GF346" s="5"/>
      <c r="GG346" s="5"/>
      <c r="GH346" s="5"/>
      <c r="GI346" s="5"/>
      <c r="GJ346" s="5"/>
      <c r="GK346" s="5"/>
      <c r="GL346" s="5"/>
      <c r="GM346" s="5"/>
      <c r="GN346" s="5"/>
      <c r="GO346" s="5"/>
      <c r="GP346" s="5"/>
      <c r="GQ346" s="5"/>
      <c r="GR346" s="5"/>
      <c r="GS346" s="5"/>
      <c r="GT346" s="5"/>
      <c r="GU346" s="5"/>
      <c r="GV346" s="5"/>
      <c r="GW346" s="5"/>
      <c r="GX346" s="5"/>
      <c r="GY346" s="5"/>
      <c r="GZ346" s="5"/>
      <c r="HA346" s="5"/>
      <c r="HB346" s="5"/>
      <c r="HC346" s="5"/>
      <c r="HD346" s="5"/>
      <c r="HE346" s="5"/>
      <c r="HF346" s="5"/>
      <c r="HG346" s="5"/>
      <c r="HH346" s="5"/>
      <c r="HI346" s="5"/>
      <c r="HJ346" s="5"/>
      <c r="HK346" s="5"/>
      <c r="HL346" s="5"/>
      <c r="HM346" s="5"/>
      <c r="HN346" s="5"/>
      <c r="HO346" s="5"/>
      <c r="HP346" s="5"/>
      <c r="HQ346" s="5"/>
      <c r="HR346" s="5"/>
      <c r="HS346" s="5"/>
      <c r="HT346" s="5"/>
      <c r="HU346" s="5"/>
      <c r="HV346" s="5"/>
      <c r="HW346" s="5"/>
      <c r="HX346" s="5"/>
      <c r="HY346" s="5"/>
      <c r="HZ346" s="5"/>
      <c r="IA346" s="5"/>
      <c r="IB346" s="5"/>
      <c r="IC346" s="5"/>
      <c r="ID346" s="5"/>
    </row>
    <row r="347" spans="1:239" customHeight="1" ht="13.2"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/>
      <c r="BZ347" s="5"/>
      <c r="CA347" s="5"/>
      <c r="CB347" s="5"/>
      <c r="CC347" s="5"/>
      <c r="CD347" s="5"/>
      <c r="CE347" s="5"/>
      <c r="CF347" s="5"/>
      <c r="CG347" s="5"/>
      <c r="CH347" s="5"/>
      <c r="CI347" s="5"/>
      <c r="CJ347" s="5"/>
      <c r="CK347" s="5"/>
      <c r="CL347" s="5"/>
      <c r="CM347" s="5"/>
      <c r="CN347" s="5"/>
      <c r="CO347" s="5"/>
      <c r="CP347" s="5"/>
      <c r="CQ347" s="5"/>
      <c r="CR347" s="5"/>
      <c r="CS347" s="5"/>
      <c r="CT347" s="5"/>
      <c r="CU347" s="5"/>
      <c r="CV347" s="5"/>
      <c r="CW347" s="5"/>
      <c r="CX347" s="5"/>
      <c r="CY347" s="5"/>
      <c r="CZ347" s="5"/>
      <c r="DA347" s="5"/>
      <c r="DB347" s="5"/>
      <c r="DC347" s="5"/>
      <c r="DD347" s="5"/>
      <c r="DE347" s="5"/>
      <c r="DF347" s="5"/>
      <c r="DG347" s="5"/>
      <c r="DH347" s="5"/>
      <c r="DI347" s="5"/>
      <c r="DJ347" s="5"/>
      <c r="DK347" s="5"/>
      <c r="DL347" s="5"/>
      <c r="DM347" s="5"/>
      <c r="DN347" s="5"/>
      <c r="DO347" s="5"/>
      <c r="DP347" s="5"/>
      <c r="DQ347" s="5"/>
      <c r="DR347" s="5"/>
      <c r="DS347" s="5"/>
      <c r="DT347" s="5"/>
      <c r="DU347" s="5"/>
      <c r="DV347" s="5"/>
      <c r="DW347" s="5"/>
      <c r="DX347" s="5"/>
      <c r="DY347" s="5"/>
      <c r="DZ347" s="5"/>
      <c r="EA347" s="5"/>
      <c r="EB347" s="5"/>
      <c r="EC347" s="5"/>
      <c r="ED347" s="5"/>
      <c r="EE347" s="5"/>
      <c r="EF347" s="5"/>
      <c r="EG347" s="5"/>
      <c r="EH347" s="5"/>
      <c r="EI347" s="5"/>
      <c r="EJ347" s="5"/>
      <c r="EK347" s="5"/>
      <c r="EL347" s="5"/>
      <c r="EM347" s="5"/>
      <c r="EN347" s="5"/>
      <c r="EO347" s="5"/>
      <c r="EP347" s="5"/>
      <c r="EQ347" s="5"/>
      <c r="ER347" s="5"/>
      <c r="ES347" s="5"/>
      <c r="ET347" s="5"/>
      <c r="EU347" s="5"/>
      <c r="EV347" s="5"/>
      <c r="EW347" s="5"/>
      <c r="EX347" s="5"/>
      <c r="EY347" s="5"/>
      <c r="EZ347" s="5"/>
      <c r="FA347" s="5"/>
      <c r="FB347" s="5"/>
      <c r="FC347" s="5"/>
      <c r="FD347" s="5"/>
      <c r="FE347" s="5"/>
      <c r="FF347" s="5"/>
      <c r="FG347" s="5"/>
      <c r="FH347" s="5"/>
      <c r="FI347" s="5"/>
      <c r="FJ347" s="5"/>
      <c r="FK347" s="5"/>
      <c r="FL347" s="5"/>
      <c r="FM347" s="5"/>
      <c r="FN347" s="5"/>
      <c r="FO347" s="5"/>
      <c r="FP347" s="5"/>
      <c r="FQ347" s="5"/>
      <c r="FR347" s="5"/>
      <c r="FS347" s="5"/>
      <c r="FT347" s="5"/>
      <c r="FU347" s="5"/>
      <c r="FV347" s="5"/>
      <c r="FW347" s="5"/>
      <c r="FX347" s="5"/>
      <c r="FY347" s="5"/>
      <c r="FZ347" s="5"/>
      <c r="GA347" s="5"/>
      <c r="GB347" s="5"/>
      <c r="GC347" s="5"/>
      <c r="GD347" s="5"/>
      <c r="GE347" s="5"/>
      <c r="GF347" s="5"/>
      <c r="GG347" s="5"/>
      <c r="GH347" s="5"/>
      <c r="GI347" s="5"/>
      <c r="GJ347" s="5"/>
      <c r="GK347" s="5"/>
      <c r="GL347" s="5"/>
      <c r="GM347" s="5"/>
      <c r="GN347" s="5"/>
      <c r="GO347" s="5"/>
      <c r="GP347" s="5"/>
      <c r="GQ347" s="5"/>
      <c r="GR347" s="5"/>
      <c r="GS347" s="5"/>
      <c r="GT347" s="5"/>
      <c r="GU347" s="5"/>
      <c r="GV347" s="5"/>
      <c r="GW347" s="5"/>
      <c r="GX347" s="5"/>
      <c r="GY347" s="5"/>
      <c r="GZ347" s="5"/>
      <c r="HA347" s="5"/>
      <c r="HB347" s="5"/>
      <c r="HC347" s="5"/>
      <c r="HD347" s="5"/>
      <c r="HE347" s="5"/>
      <c r="HF347" s="5"/>
      <c r="HG347" s="5"/>
      <c r="HH347" s="5"/>
      <c r="HI347" s="5"/>
      <c r="HJ347" s="5"/>
      <c r="HK347" s="5"/>
      <c r="HL347" s="5"/>
      <c r="HM347" s="5"/>
      <c r="HN347" s="5"/>
      <c r="HO347" s="5"/>
      <c r="HP347" s="5"/>
      <c r="HQ347" s="5"/>
      <c r="HR347" s="5"/>
      <c r="HS347" s="5"/>
      <c r="HT347" s="5"/>
      <c r="HU347" s="5"/>
      <c r="HV347" s="5"/>
      <c r="HW347" s="5"/>
      <c r="HX347" s="5"/>
      <c r="HY347" s="5"/>
      <c r="HZ347" s="5"/>
      <c r="IA347" s="5"/>
      <c r="IB347" s="5"/>
      <c r="IC347" s="5"/>
      <c r="ID347" s="5"/>
    </row>
    <row r="348" spans="1:239" customHeight="1" ht="13.2"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5"/>
      <c r="BZ348" s="5"/>
      <c r="CA348" s="5"/>
      <c r="CB348" s="5"/>
      <c r="CC348" s="5"/>
      <c r="CD348" s="5"/>
      <c r="CE348" s="5"/>
      <c r="CF348" s="5"/>
      <c r="CG348" s="5"/>
      <c r="CH348" s="5"/>
      <c r="CI348" s="5"/>
      <c r="CJ348" s="5"/>
      <c r="CK348" s="5"/>
      <c r="CL348" s="5"/>
      <c r="CM348" s="5"/>
      <c r="CN348" s="5"/>
      <c r="CO348" s="5"/>
      <c r="CP348" s="5"/>
      <c r="CQ348" s="5"/>
      <c r="CR348" s="5"/>
      <c r="CS348" s="5"/>
      <c r="CT348" s="5"/>
      <c r="CU348" s="5"/>
      <c r="CV348" s="5"/>
      <c r="CW348" s="5"/>
      <c r="CX348" s="5"/>
      <c r="CY348" s="5"/>
      <c r="CZ348" s="5"/>
      <c r="DA348" s="5"/>
      <c r="DB348" s="5"/>
      <c r="DC348" s="5"/>
      <c r="DD348" s="5"/>
      <c r="DE348" s="5"/>
      <c r="DF348" s="5"/>
      <c r="DG348" s="5"/>
      <c r="DH348" s="5"/>
      <c r="DI348" s="5"/>
      <c r="DJ348" s="5"/>
      <c r="DK348" s="5"/>
      <c r="DL348" s="5"/>
      <c r="DM348" s="5"/>
      <c r="DN348" s="5"/>
      <c r="DO348" s="5"/>
      <c r="DP348" s="5"/>
      <c r="DQ348" s="5"/>
      <c r="DR348" s="5"/>
      <c r="DS348" s="5"/>
      <c r="DT348" s="5"/>
      <c r="DU348" s="5"/>
      <c r="DV348" s="5"/>
      <c r="DW348" s="5"/>
      <c r="DX348" s="5"/>
      <c r="DY348" s="5"/>
      <c r="DZ348" s="5"/>
      <c r="EA348" s="5"/>
      <c r="EB348" s="5"/>
      <c r="EC348" s="5"/>
      <c r="ED348" s="5"/>
      <c r="EE348" s="5"/>
      <c r="EF348" s="5"/>
      <c r="EG348" s="5"/>
      <c r="EH348" s="5"/>
      <c r="EI348" s="5"/>
      <c r="EJ348" s="5"/>
      <c r="EK348" s="5"/>
      <c r="EL348" s="5"/>
      <c r="EM348" s="5"/>
      <c r="EN348" s="5"/>
      <c r="EO348" s="5"/>
      <c r="EP348" s="5"/>
      <c r="EQ348" s="5"/>
      <c r="ER348" s="5"/>
      <c r="ES348" s="5"/>
      <c r="ET348" s="5"/>
      <c r="EU348" s="5"/>
      <c r="EV348" s="5"/>
      <c r="EW348" s="5"/>
      <c r="EX348" s="5"/>
      <c r="EY348" s="5"/>
      <c r="EZ348" s="5"/>
      <c r="FA348" s="5"/>
      <c r="FB348" s="5"/>
      <c r="FC348" s="5"/>
      <c r="FD348" s="5"/>
      <c r="FE348" s="5"/>
      <c r="FF348" s="5"/>
      <c r="FG348" s="5"/>
      <c r="FH348" s="5"/>
      <c r="FI348" s="5"/>
      <c r="FJ348" s="5"/>
      <c r="FK348" s="5"/>
      <c r="FL348" s="5"/>
      <c r="FM348" s="5"/>
      <c r="FN348" s="5"/>
      <c r="FO348" s="5"/>
      <c r="FP348" s="5"/>
      <c r="FQ348" s="5"/>
      <c r="FR348" s="5"/>
      <c r="FS348" s="5"/>
      <c r="FT348" s="5"/>
      <c r="FU348" s="5"/>
      <c r="FV348" s="5"/>
      <c r="FW348" s="5"/>
      <c r="FX348" s="5"/>
      <c r="FY348" s="5"/>
      <c r="FZ348" s="5"/>
      <c r="GA348" s="5"/>
      <c r="GB348" s="5"/>
      <c r="GC348" s="5"/>
      <c r="GD348" s="5"/>
      <c r="GE348" s="5"/>
      <c r="GF348" s="5"/>
      <c r="GG348" s="5"/>
      <c r="GH348" s="5"/>
      <c r="GI348" s="5"/>
      <c r="GJ348" s="5"/>
      <c r="GK348" s="5"/>
      <c r="GL348" s="5"/>
      <c r="GM348" s="5"/>
      <c r="GN348" s="5"/>
      <c r="GO348" s="5"/>
      <c r="GP348" s="5"/>
      <c r="GQ348" s="5"/>
      <c r="GR348" s="5"/>
      <c r="GS348" s="5"/>
      <c r="GT348" s="5"/>
      <c r="GU348" s="5"/>
      <c r="GV348" s="5"/>
      <c r="GW348" s="5"/>
      <c r="GX348" s="5"/>
      <c r="GY348" s="5"/>
      <c r="GZ348" s="5"/>
      <c r="HA348" s="5"/>
      <c r="HB348" s="5"/>
      <c r="HC348" s="5"/>
      <c r="HD348" s="5"/>
      <c r="HE348" s="5"/>
      <c r="HF348" s="5"/>
      <c r="HG348" s="5"/>
      <c r="HH348" s="5"/>
      <c r="HI348" s="5"/>
      <c r="HJ348" s="5"/>
      <c r="HK348" s="5"/>
      <c r="HL348" s="5"/>
      <c r="HM348" s="5"/>
      <c r="HN348" s="5"/>
      <c r="HO348" s="5"/>
      <c r="HP348" s="5"/>
      <c r="HQ348" s="5"/>
      <c r="HR348" s="5"/>
      <c r="HS348" s="5"/>
      <c r="HT348" s="5"/>
      <c r="HU348" s="5"/>
      <c r="HV348" s="5"/>
      <c r="HW348" s="5"/>
      <c r="HX348" s="5"/>
      <c r="HY348" s="5"/>
      <c r="HZ348" s="5"/>
      <c r="IA348" s="5"/>
      <c r="IB348" s="5"/>
      <c r="IC348" s="5"/>
      <c r="ID348" s="5"/>
    </row>
    <row r="349" spans="1:239" customHeight="1" ht="13.2">
      <c r="G349" s="5"/>
      <c r="H349" s="5"/>
      <c r="I349" s="5"/>
      <c r="J349" s="5"/>
      <c r="K349" s="5"/>
      <c r="L349" s="5"/>
      <c r="M349" s="5"/>
      <c r="N349" s="5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  <c r="BW349" s="5"/>
      <c r="BX349" s="5"/>
      <c r="BY349" s="5"/>
      <c r="BZ349" s="5"/>
      <c r="CA349" s="5"/>
      <c r="CB349" s="5"/>
      <c r="CC349" s="5"/>
      <c r="CD349" s="5"/>
      <c r="CE349" s="5"/>
      <c r="CF349" s="5"/>
      <c r="CG349" s="5"/>
      <c r="CH349" s="5"/>
      <c r="CI349" s="5"/>
      <c r="CJ349" s="5"/>
      <c r="CK349" s="5"/>
      <c r="CL349" s="5"/>
      <c r="CM349" s="5"/>
      <c r="CN349" s="5"/>
      <c r="CO349" s="5"/>
      <c r="CP349" s="5"/>
      <c r="CQ349" s="5"/>
      <c r="CR349" s="5"/>
      <c r="CS349" s="5"/>
      <c r="CT349" s="5"/>
      <c r="CU349" s="5"/>
      <c r="CV349" s="5"/>
      <c r="CW349" s="5"/>
      <c r="CX349" s="5"/>
      <c r="CY349" s="5"/>
      <c r="CZ349" s="5"/>
      <c r="DA349" s="5"/>
      <c r="DB349" s="5"/>
      <c r="DC349" s="5"/>
      <c r="DD349" s="5"/>
      <c r="DE349" s="5"/>
      <c r="DF349" s="5"/>
      <c r="DG349" s="5"/>
      <c r="DH349" s="5"/>
      <c r="DI349" s="5"/>
      <c r="DJ349" s="5"/>
      <c r="DK349" s="5"/>
      <c r="DL349" s="5"/>
      <c r="DM349" s="5"/>
      <c r="DN349" s="5"/>
      <c r="DO349" s="5"/>
      <c r="DP349" s="5"/>
      <c r="DQ349" s="5"/>
      <c r="DR349" s="5"/>
      <c r="DS349" s="5"/>
      <c r="DT349" s="5"/>
      <c r="DU349" s="5"/>
      <c r="DV349" s="5"/>
      <c r="DW349" s="5"/>
      <c r="DX349" s="5"/>
      <c r="DY349" s="5"/>
      <c r="DZ349" s="5"/>
      <c r="EA349" s="5"/>
      <c r="EB349" s="5"/>
      <c r="EC349" s="5"/>
      <c r="ED349" s="5"/>
      <c r="EE349" s="5"/>
      <c r="EF349" s="5"/>
      <c r="EG349" s="5"/>
      <c r="EH349" s="5"/>
      <c r="EI349" s="5"/>
      <c r="EJ349" s="5"/>
      <c r="EK349" s="5"/>
      <c r="EL349" s="5"/>
      <c r="EM349" s="5"/>
      <c r="EN349" s="5"/>
      <c r="EO349" s="5"/>
      <c r="EP349" s="5"/>
      <c r="EQ349" s="5"/>
      <c r="ER349" s="5"/>
      <c r="ES349" s="5"/>
      <c r="ET349" s="5"/>
      <c r="EU349" s="5"/>
      <c r="EV349" s="5"/>
      <c r="EW349" s="5"/>
      <c r="EX349" s="5"/>
      <c r="EY349" s="5"/>
      <c r="EZ349" s="5"/>
      <c r="FA349" s="5"/>
      <c r="FB349" s="5"/>
      <c r="FC349" s="5"/>
      <c r="FD349" s="5"/>
      <c r="FE349" s="5"/>
      <c r="FF349" s="5"/>
      <c r="FG349" s="5"/>
      <c r="FH349" s="5"/>
      <c r="FI349" s="5"/>
      <c r="FJ349" s="5"/>
      <c r="FK349" s="5"/>
      <c r="FL349" s="5"/>
      <c r="FM349" s="5"/>
      <c r="FN349" s="5"/>
      <c r="FO349" s="5"/>
      <c r="FP349" s="5"/>
      <c r="FQ349" s="5"/>
      <c r="FR349" s="5"/>
      <c r="FS349" s="5"/>
      <c r="FT349" s="5"/>
      <c r="FU349" s="5"/>
      <c r="FV349" s="5"/>
      <c r="FW349" s="5"/>
      <c r="FX349" s="5"/>
      <c r="FY349" s="5"/>
      <c r="FZ349" s="5"/>
      <c r="GA349" s="5"/>
      <c r="GB349" s="5"/>
      <c r="GC349" s="5"/>
      <c r="GD349" s="5"/>
      <c r="GE349" s="5"/>
      <c r="GF349" s="5"/>
      <c r="GG349" s="5"/>
      <c r="GH349" s="5"/>
      <c r="GI349" s="5"/>
      <c r="GJ349" s="5"/>
      <c r="GK349" s="5"/>
      <c r="GL349" s="5"/>
      <c r="GM349" s="5"/>
      <c r="GN349" s="5"/>
      <c r="GO349" s="5"/>
      <c r="GP349" s="5"/>
      <c r="GQ349" s="5"/>
      <c r="GR349" s="5"/>
      <c r="GS349" s="5"/>
      <c r="GT349" s="5"/>
      <c r="GU349" s="5"/>
      <c r="GV349" s="5"/>
      <c r="GW349" s="5"/>
      <c r="GX349" s="5"/>
      <c r="GY349" s="5"/>
      <c r="GZ349" s="5"/>
      <c r="HA349" s="5"/>
      <c r="HB349" s="5"/>
      <c r="HC349" s="5"/>
      <c r="HD349" s="5"/>
      <c r="HE349" s="5"/>
      <c r="HF349" s="5"/>
      <c r="HG349" s="5"/>
      <c r="HH349" s="5"/>
      <c r="HI349" s="5"/>
      <c r="HJ349" s="5"/>
      <c r="HK349" s="5"/>
      <c r="HL349" s="5"/>
      <c r="HM349" s="5"/>
      <c r="HN349" s="5"/>
      <c r="HO349" s="5"/>
      <c r="HP349" s="5"/>
      <c r="HQ349" s="5"/>
      <c r="HR349" s="5"/>
      <c r="HS349" s="5"/>
      <c r="HT349" s="5"/>
      <c r="HU349" s="5"/>
      <c r="HV349" s="5"/>
      <c r="HW349" s="5"/>
      <c r="HX349" s="5"/>
      <c r="HY349" s="5"/>
      <c r="HZ349" s="5"/>
      <c r="IA349" s="5"/>
      <c r="IB349" s="5"/>
      <c r="IC349" s="5"/>
      <c r="ID349" s="5"/>
    </row>
    <row r="350" spans="1:239" customHeight="1" ht="13.2">
      <c r="G350" s="5"/>
      <c r="H350" s="5"/>
      <c r="I350" s="5"/>
      <c r="J350" s="5"/>
      <c r="K350" s="5"/>
      <c r="L350" s="5"/>
      <c r="M350" s="5"/>
      <c r="N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/>
      <c r="BZ350" s="5"/>
      <c r="CA350" s="5"/>
      <c r="CB350" s="5"/>
      <c r="CC350" s="5"/>
      <c r="CD350" s="5"/>
      <c r="CE350" s="5"/>
      <c r="CF350" s="5"/>
      <c r="CG350" s="5"/>
      <c r="CH350" s="5"/>
      <c r="CI350" s="5"/>
      <c r="CJ350" s="5"/>
      <c r="CK350" s="5"/>
      <c r="CL350" s="5"/>
      <c r="CM350" s="5"/>
      <c r="CN350" s="5"/>
      <c r="CO350" s="5"/>
      <c r="CP350" s="5"/>
      <c r="CQ350" s="5"/>
      <c r="CR350" s="5"/>
      <c r="CS350" s="5"/>
      <c r="CT350" s="5"/>
      <c r="CU350" s="5"/>
      <c r="CV350" s="5"/>
      <c r="CW350" s="5"/>
      <c r="CX350" s="5"/>
      <c r="CY350" s="5"/>
      <c r="CZ350" s="5"/>
      <c r="DA350" s="5"/>
      <c r="DB350" s="5"/>
      <c r="DC350" s="5"/>
      <c r="DD350" s="5"/>
      <c r="DE350" s="5"/>
      <c r="DF350" s="5"/>
      <c r="DG350" s="5"/>
      <c r="DH350" s="5"/>
      <c r="DI350" s="5"/>
      <c r="DJ350" s="5"/>
      <c r="DK350" s="5"/>
      <c r="DL350" s="5"/>
      <c r="DM350" s="5"/>
      <c r="DN350" s="5"/>
      <c r="DO350" s="5"/>
      <c r="DP350" s="5"/>
      <c r="DQ350" s="5"/>
      <c r="DR350" s="5"/>
      <c r="DS350" s="5"/>
      <c r="DT350" s="5"/>
      <c r="DU350" s="5"/>
      <c r="DV350" s="5"/>
      <c r="DW350" s="5"/>
      <c r="DX350" s="5"/>
      <c r="DY350" s="5"/>
      <c r="DZ350" s="5"/>
      <c r="EA350" s="5"/>
      <c r="EB350" s="5"/>
      <c r="EC350" s="5"/>
      <c r="ED350" s="5"/>
      <c r="EE350" s="5"/>
      <c r="EF350" s="5"/>
      <c r="EG350" s="5"/>
      <c r="EH350" s="5"/>
      <c r="EI350" s="5"/>
      <c r="EJ350" s="5"/>
      <c r="EK350" s="5"/>
      <c r="EL350" s="5"/>
      <c r="EM350" s="5"/>
      <c r="EN350" s="5"/>
      <c r="EO350" s="5"/>
      <c r="EP350" s="5"/>
      <c r="EQ350" s="5"/>
      <c r="ER350" s="5"/>
      <c r="ES350" s="5"/>
      <c r="ET350" s="5"/>
      <c r="EU350" s="5"/>
      <c r="EV350" s="5"/>
      <c r="EW350" s="5"/>
      <c r="EX350" s="5"/>
      <c r="EY350" s="5"/>
      <c r="EZ350" s="5"/>
      <c r="FA350" s="5"/>
      <c r="FB350" s="5"/>
      <c r="FC350" s="5"/>
      <c r="FD350" s="5"/>
      <c r="FE350" s="5"/>
      <c r="FF350" s="5"/>
      <c r="FG350" s="5"/>
      <c r="FH350" s="5"/>
      <c r="FI350" s="5"/>
      <c r="FJ350" s="5"/>
      <c r="FK350" s="5"/>
      <c r="FL350" s="5"/>
      <c r="FM350" s="5"/>
      <c r="FN350" s="5"/>
      <c r="FO350" s="5"/>
      <c r="FP350" s="5"/>
      <c r="FQ350" s="5"/>
      <c r="FR350" s="5"/>
      <c r="FS350" s="5"/>
      <c r="FT350" s="5"/>
      <c r="FU350" s="5"/>
      <c r="FV350" s="5"/>
      <c r="FW350" s="5"/>
      <c r="FX350" s="5"/>
      <c r="FY350" s="5"/>
      <c r="FZ350" s="5"/>
      <c r="GA350" s="5"/>
      <c r="GB350" s="5"/>
      <c r="GC350" s="5"/>
      <c r="GD350" s="5"/>
      <c r="GE350" s="5"/>
      <c r="GF350" s="5"/>
      <c r="GG350" s="5"/>
      <c r="GH350" s="5"/>
      <c r="GI350" s="5"/>
      <c r="GJ350" s="5"/>
      <c r="GK350" s="5"/>
      <c r="GL350" s="5"/>
      <c r="GM350" s="5"/>
      <c r="GN350" s="5"/>
      <c r="GO350" s="5"/>
      <c r="GP350" s="5"/>
      <c r="GQ350" s="5"/>
      <c r="GR350" s="5"/>
      <c r="GS350" s="5"/>
      <c r="GT350" s="5"/>
      <c r="GU350" s="5"/>
      <c r="GV350" s="5"/>
      <c r="GW350" s="5"/>
      <c r="GX350" s="5"/>
      <c r="GY350" s="5"/>
      <c r="GZ350" s="5"/>
      <c r="HA350" s="5"/>
      <c r="HB350" s="5"/>
      <c r="HC350" s="5"/>
      <c r="HD350" s="5"/>
      <c r="HE350" s="5"/>
      <c r="HF350" s="5"/>
      <c r="HG350" s="5"/>
      <c r="HH350" s="5"/>
      <c r="HI350" s="5"/>
      <c r="HJ350" s="5"/>
      <c r="HK350" s="5"/>
      <c r="HL350" s="5"/>
      <c r="HM350" s="5"/>
      <c r="HN350" s="5"/>
      <c r="HO350" s="5"/>
      <c r="HP350" s="5"/>
      <c r="HQ350" s="5"/>
      <c r="HR350" s="5"/>
      <c r="HS350" s="5"/>
      <c r="HT350" s="5"/>
      <c r="HU350" s="5"/>
      <c r="HV350" s="5"/>
      <c r="HW350" s="5"/>
      <c r="HX350" s="5"/>
      <c r="HY350" s="5"/>
      <c r="HZ350" s="5"/>
      <c r="IA350" s="5"/>
      <c r="IB350" s="5"/>
      <c r="IC350" s="5"/>
      <c r="ID350" s="5"/>
    </row>
    <row r="351" spans="1:239" customHeight="1" ht="13.2">
      <c r="G351" s="5"/>
      <c r="H351" s="5"/>
      <c r="I351" s="5"/>
      <c r="J351" s="5"/>
    </row>
    <row r="352" spans="1:239" customHeight="1" ht="13.2">
      <c r="G352" s="5"/>
      <c r="H352" s="5"/>
      <c r="I352" s="5"/>
      <c r="J352" s="5"/>
    </row>
    <row r="353" spans="1:239" customHeight="1" ht="13.2">
      <c r="G353" s="5"/>
      <c r="H353" s="5"/>
      <c r="I353" s="5"/>
      <c r="J353" s="5"/>
    </row>
    <row r="354" spans="1:239" customHeight="1" ht="13.2">
      <c r="G354" s="5"/>
      <c r="H354" s="5"/>
      <c r="I354" s="5"/>
      <c r="J354" s="5"/>
    </row>
    <row r="355" spans="1:239" customHeight="1" ht="13.2">
      <c r="G355" s="5"/>
      <c r="H355" s="5"/>
      <c r="I355" s="5"/>
      <c r="J355" s="5"/>
    </row>
    <row r="356" spans="1:239" customHeight="1" ht="13.2">
      <c r="G356" s="5"/>
      <c r="H356" s="5"/>
      <c r="I356" s="5"/>
      <c r="J356" s="5"/>
    </row>
    <row r="357" spans="1:239" customHeight="1" ht="13.2">
      <c r="G357" s="5"/>
      <c r="H357" s="5"/>
      <c r="I357" s="5"/>
      <c r="J357" s="5"/>
    </row>
    <row r="358" spans="1:239" customHeight="1" ht="13.2">
      <c r="G358" s="5"/>
      <c r="H358" s="5"/>
      <c r="I358" s="5"/>
      <c r="J358" s="5"/>
    </row>
    <row r="359" spans="1:239" customHeight="1" ht="13.2">
      <c r="G359" s="5"/>
      <c r="H359" s="5"/>
      <c r="I359" s="5"/>
      <c r="J359" s="5"/>
    </row>
    <row r="360" spans="1:239" customHeight="1" ht="13.2">
      <c r="G360" s="5"/>
      <c r="H360" s="5"/>
      <c r="I360" s="5"/>
      <c r="J360" s="5"/>
    </row>
    <row r="361" spans="1:239" customHeight="1" ht="13.2">
      <c r="G361" s="5"/>
      <c r="H361" s="5"/>
      <c r="I361" s="5"/>
      <c r="J361" s="5"/>
    </row>
    <row r="362" spans="1:239" customHeight="1" ht="13.2">
      <c r="G362" s="5"/>
      <c r="H362" s="5"/>
      <c r="I362" s="5"/>
      <c r="J362" s="5"/>
    </row>
    <row r="363" spans="1:239" customHeight="1" ht="13.2">
      <c r="G363" s="5"/>
      <c r="H363" s="5"/>
      <c r="I363" s="5"/>
      <c r="J363" s="5"/>
    </row>
    <row r="364" spans="1:239" customHeight="1" ht="13.2">
      <c r="G364" s="5"/>
      <c r="H364" s="5"/>
      <c r="I364" s="5"/>
      <c r="J364" s="5"/>
    </row>
    <row r="365" spans="1:239" customHeight="1" ht="13.2">
      <c r="G365" s="5"/>
      <c r="H365" s="5"/>
      <c r="I365" s="5"/>
      <c r="J365" s="5"/>
    </row>
    <row r="366" spans="1:239" customHeight="1" ht="13.2">
      <c r="G366" s="5"/>
      <c r="H366" s="5"/>
      <c r="I366" s="5"/>
      <c r="J366" s="5"/>
    </row>
    <row r="367" spans="1:239" customHeight="1" ht="13.2">
      <c r="G367" s="5"/>
      <c r="H367" s="5"/>
      <c r="I367" s="5"/>
      <c r="J367" s="5"/>
    </row>
    <row r="368" spans="1:239" customHeight="1" ht="13.2">
      <c r="G368" s="5"/>
      <c r="H368" s="5"/>
      <c r="I368" s="5"/>
      <c r="J368" s="5"/>
    </row>
    <row r="369" spans="1:239" customHeight="1" ht="13.2">
      <c r="G369" s="5"/>
      <c r="H369" s="5"/>
      <c r="I369" s="5"/>
      <c r="J369" s="5"/>
    </row>
    <row r="370" spans="1:239" customHeight="1" ht="13.2">
      <c r="G370" s="5"/>
      <c r="H370" s="5"/>
      <c r="I370" s="5"/>
      <c r="J370" s="5"/>
    </row>
    <row r="371" spans="1:239" customHeight="1" ht="13.2">
      <c r="G371" s="5"/>
      <c r="H371" s="5"/>
      <c r="I371" s="5"/>
      <c r="J371" s="5"/>
    </row>
    <row r="372" spans="1:239" customHeight="1" ht="13.2">
      <c r="G372" s="5"/>
      <c r="H372" s="5"/>
      <c r="I372" s="5"/>
      <c r="J372" s="5"/>
    </row>
    <row r="373" spans="1:239" customHeight="1" ht="13.2">
      <c r="G373" s="5"/>
      <c r="H373" s="5"/>
      <c r="I373" s="5"/>
      <c r="J373" s="5"/>
    </row>
    <row r="374" spans="1:239" customHeight="1" ht="13.2">
      <c r="G374" s="5"/>
      <c r="H374" s="5"/>
      <c r="I374" s="5"/>
      <c r="J374" s="5"/>
    </row>
    <row r="375" spans="1:239" customHeight="1" ht="13.2">
      <c r="G375" s="5"/>
      <c r="H375" s="5"/>
      <c r="I375" s="5"/>
      <c r="J375" s="5"/>
    </row>
    <row r="376" spans="1:239" customHeight="1" ht="13.2">
      <c r="G376" s="5"/>
      <c r="H376" s="5"/>
      <c r="I376" s="5"/>
      <c r="J376" s="5"/>
    </row>
    <row r="377" spans="1:239" customHeight="1" ht="13.2">
      <c r="G377" s="5"/>
      <c r="H377" s="5"/>
      <c r="I377" s="5"/>
      <c r="J377" s="5"/>
    </row>
    <row r="378" spans="1:239" customHeight="1" ht="13.2">
      <c r="G378" s="5"/>
      <c r="H378" s="5"/>
      <c r="I378" s="5"/>
      <c r="J378" s="5"/>
    </row>
    <row r="379" spans="1:239" customHeight="1" ht="13.2">
      <c r="G379" s="5"/>
      <c r="H379" s="5"/>
      <c r="I379" s="5"/>
      <c r="J379" s="5"/>
    </row>
    <row r="380" spans="1:239" customHeight="1" ht="13.2">
      <c r="G380" s="5"/>
      <c r="H380" s="5"/>
      <c r="I380" s="5"/>
      <c r="J380" s="5"/>
    </row>
    <row r="381" spans="1:239" customHeight="1" ht="13.2">
      <c r="G381" s="5"/>
      <c r="H381" s="5"/>
      <c r="I381" s="5"/>
      <c r="J381" s="5"/>
    </row>
    <row r="382" spans="1:239" customHeight="1" ht="13.2">
      <c r="G382" s="5"/>
      <c r="H382" s="5"/>
      <c r="I382" s="5"/>
      <c r="J382" s="5"/>
    </row>
    <row r="383" spans="1:239" customHeight="1" ht="13.2">
      <c r="G383" s="5"/>
      <c r="H383" s="5"/>
      <c r="I383" s="5"/>
      <c r="J383" s="5"/>
    </row>
    <row r="384" spans="1:239" customHeight="1" ht="13.2">
      <c r="G384" s="5"/>
      <c r="H384" s="5"/>
      <c r="I384" s="5"/>
      <c r="J384" s="5"/>
    </row>
    <row r="385" spans="1:239" customHeight="1" ht="13.2">
      <c r="G385" s="5"/>
      <c r="H385" s="5"/>
      <c r="I385" s="5"/>
      <c r="J385" s="5"/>
    </row>
    <row r="386" spans="1:239" customHeight="1" ht="13.2">
      <c r="G386" s="5"/>
      <c r="H386" s="5"/>
      <c r="I386" s="5"/>
      <c r="J386" s="5"/>
    </row>
    <row r="387" spans="1:239" customHeight="1" ht="13.2">
      <c r="G387" s="5"/>
      <c r="H387" s="5"/>
      <c r="I387" s="5"/>
      <c r="J387" s="5"/>
    </row>
    <row r="388" spans="1:239" customHeight="1" ht="13.2">
      <c r="G388" s="5"/>
      <c r="H388" s="5"/>
      <c r="I388" s="5"/>
      <c r="J388" s="5"/>
    </row>
    <row r="389" spans="1:239" customHeight="1" ht="13.2">
      <c r="G389" s="5"/>
      <c r="H389" s="5"/>
      <c r="I389" s="5"/>
      <c r="J389" s="5"/>
    </row>
    <row r="390" spans="1:239" customHeight="1" ht="13.2">
      <c r="G390" s="5"/>
      <c r="H390" s="5"/>
      <c r="I390" s="5"/>
      <c r="J390" s="5"/>
    </row>
    <row r="391" spans="1:239" customHeight="1" ht="13.2">
      <c r="G391" s="5"/>
      <c r="H391" s="5"/>
      <c r="I391" s="5"/>
      <c r="J391" s="5"/>
    </row>
    <row r="392" spans="1:239" customHeight="1" ht="13.2">
      <c r="G392" s="5"/>
      <c r="H392" s="5"/>
      <c r="I392" s="5"/>
      <c r="J392" s="5"/>
    </row>
    <row r="393" spans="1:239" customHeight="1" ht="13.2">
      <c r="G393" s="5"/>
      <c r="H393" s="5"/>
      <c r="I393" s="5"/>
      <c r="J393" s="5"/>
    </row>
    <row r="394" spans="1:239" customHeight="1" ht="13.2">
      <c r="G394" s="5"/>
      <c r="H394" s="5"/>
      <c r="I394" s="5"/>
      <c r="J394" s="5"/>
    </row>
    <row r="395" spans="1:239" customHeight="1" ht="13.2">
      <c r="G395" s="5"/>
      <c r="H395" s="5"/>
      <c r="I395" s="5"/>
      <c r="J395" s="5"/>
    </row>
    <row r="396" spans="1:239" customHeight="1" ht="13.2">
      <c r="G396" s="5"/>
      <c r="H396" s="5"/>
      <c r="I396" s="5"/>
      <c r="J396" s="5"/>
    </row>
    <row r="397" spans="1:239" customHeight="1" ht="13.2">
      <c r="G397" s="5"/>
      <c r="H397" s="5"/>
      <c r="I397" s="5"/>
      <c r="J397" s="5"/>
    </row>
    <row r="398" spans="1:239" customHeight="1" ht="13.2">
      <c r="G398" s="5"/>
      <c r="H398" s="5"/>
      <c r="I398" s="5"/>
      <c r="J398" s="5"/>
    </row>
    <row r="399" spans="1:239" customHeight="1" ht="13.2">
      <c r="G399" s="5"/>
      <c r="H399" s="5"/>
      <c r="I399" s="5"/>
      <c r="J399" s="5"/>
    </row>
    <row r="400" spans="1:239" customHeight="1" ht="13.2">
      <c r="G400" s="5"/>
      <c r="H400" s="5"/>
      <c r="I400" s="5"/>
      <c r="J400" s="5"/>
    </row>
    <row r="401" spans="1:239" customHeight="1" ht="13.2">
      <c r="G401" s="5"/>
      <c r="H401" s="5"/>
      <c r="I401" s="5"/>
      <c r="J401" s="5"/>
    </row>
    <row r="402" spans="1:239" customHeight="1" ht="13.2">
      <c r="G402" s="5"/>
      <c r="H402" s="5"/>
      <c r="I402" s="5"/>
      <c r="J402" s="5"/>
    </row>
    <row r="403" spans="1:239" customHeight="1" ht="13.2">
      <c r="G403" s="5"/>
      <c r="H403" s="5"/>
      <c r="I403" s="5"/>
      <c r="J403" s="5"/>
    </row>
    <row r="404" spans="1:239" customHeight="1" ht="13.2">
      <c r="G404" s="5"/>
      <c r="H404" s="5"/>
      <c r="I404" s="5"/>
      <c r="J404" s="5"/>
    </row>
    <row r="405" spans="1:239" customHeight="1" ht="13.2">
      <c r="G405" s="5"/>
      <c r="H405" s="5"/>
      <c r="I405" s="5"/>
      <c r="J405" s="5"/>
    </row>
    <row r="406" spans="1:239" customHeight="1" ht="13.2">
      <c r="G406" s="5"/>
      <c r="H406" s="5"/>
      <c r="I406" s="5"/>
      <c r="J406" s="5"/>
    </row>
    <row r="407" spans="1:239" customHeight="1" ht="13.2">
      <c r="G407" s="5"/>
      <c r="H407" s="5"/>
      <c r="I407" s="5"/>
      <c r="J407" s="5"/>
    </row>
    <row r="408" spans="1:239" customHeight="1" ht="13.2">
      <c r="G408" s="5"/>
      <c r="H408" s="5"/>
      <c r="I408" s="5"/>
      <c r="J408" s="5"/>
    </row>
    <row r="409" spans="1:239" customHeight="1" ht="13.2">
      <c r="G409" s="5"/>
      <c r="H409" s="5"/>
      <c r="I409" s="5"/>
      <c r="J409" s="5"/>
    </row>
    <row r="410" spans="1:239" customHeight="1" ht="13.2">
      <c r="G410" s="5"/>
      <c r="H410" s="5"/>
      <c r="I410" s="5"/>
      <c r="J410" s="5"/>
    </row>
    <row r="411" spans="1:239" customHeight="1" ht="13.2">
      <c r="G411" s="5"/>
      <c r="H411" s="5"/>
      <c r="I411" s="5"/>
      <c r="J411" s="5"/>
    </row>
    <row r="412" spans="1:239" customHeight="1" ht="13.2">
      <c r="G412" s="5"/>
      <c r="H412" s="5"/>
      <c r="I412" s="5"/>
      <c r="J412" s="5"/>
    </row>
    <row r="413" spans="1:239" customHeight="1" ht="13.2">
      <c r="G413" s="5"/>
      <c r="H413" s="5"/>
      <c r="I413" s="5"/>
      <c r="J413" s="5"/>
    </row>
    <row r="414" spans="1:239" customHeight="1" ht="13.2">
      <c r="G414" s="5"/>
      <c r="H414" s="5"/>
      <c r="I414" s="5"/>
      <c r="J414" s="5"/>
    </row>
    <row r="415" spans="1:239" customHeight="1" ht="13.2">
      <c r="G415" s="5"/>
      <c r="H415" s="5"/>
      <c r="I415" s="5"/>
      <c r="J415" s="5"/>
    </row>
    <row r="416" spans="1:239" customHeight="1" ht="13.2">
      <c r="G416" s="5"/>
      <c r="H416" s="5"/>
      <c r="I416" s="5"/>
      <c r="J416" s="5"/>
    </row>
    <row r="417" spans="1:239" customHeight="1" ht="13.2">
      <c r="G417" s="5"/>
      <c r="H417" s="5"/>
      <c r="I417" s="5"/>
      <c r="J417" s="5"/>
    </row>
    <row r="418" spans="1:239" customHeight="1" ht="13.2">
      <c r="G418" s="5"/>
      <c r="H418" s="5"/>
      <c r="I418" s="5"/>
      <c r="J418" s="5"/>
    </row>
    <row r="419" spans="1:239" customHeight="1" ht="13.2">
      <c r="G419" s="5"/>
      <c r="H419" s="5"/>
      <c r="I419" s="5"/>
      <c r="J419" s="5"/>
    </row>
    <row r="420" spans="1:239" customHeight="1" ht="13.2">
      <c r="G420" s="5"/>
      <c r="H420" s="5"/>
      <c r="I420" s="5"/>
      <c r="J420" s="5"/>
    </row>
    <row r="421" spans="1:239" customHeight="1" ht="13.2">
      <c r="G421" s="5"/>
      <c r="H421" s="5"/>
      <c r="I421" s="5"/>
      <c r="J421" s="5"/>
    </row>
    <row r="422" spans="1:239" customHeight="1" ht="13.2">
      <c r="G422" s="5"/>
      <c r="H422" s="5"/>
      <c r="I422" s="5"/>
      <c r="J422" s="5"/>
    </row>
    <row r="423" spans="1:239" customHeight="1" ht="13.2">
      <c r="G423" s="5"/>
      <c r="H423" s="5"/>
      <c r="I423" s="5"/>
      <c r="J423" s="5"/>
    </row>
    <row r="424" spans="1:239" customHeight="1" ht="13.2">
      <c r="G424" s="5"/>
      <c r="H424" s="5"/>
      <c r="I424" s="5"/>
      <c r="J424" s="5"/>
    </row>
    <row r="425" spans="1:239" customHeight="1" ht="13.2">
      <c r="G425" s="5"/>
      <c r="H425" s="5"/>
      <c r="I425" s="5"/>
      <c r="J425" s="5"/>
    </row>
    <row r="426" spans="1:239" customHeight="1" ht="13.2">
      <c r="G426" s="5"/>
      <c r="H426" s="5"/>
      <c r="I426" s="5"/>
      <c r="J426" s="5"/>
    </row>
    <row r="427" spans="1:239" customHeight="1" ht="13.2">
      <c r="G427" s="5"/>
      <c r="H427" s="5"/>
      <c r="I427" s="5"/>
      <c r="J427" s="5"/>
    </row>
    <row r="428" spans="1:239" customHeight="1" ht="13.2">
      <c r="G428" s="5"/>
      <c r="H428" s="5"/>
      <c r="I428" s="5"/>
      <c r="J428" s="5"/>
    </row>
    <row r="429" spans="1:239" customHeight="1" ht="13.2">
      <c r="G429" s="5"/>
      <c r="H429" s="5"/>
      <c r="I429" s="5"/>
      <c r="J429" s="5"/>
    </row>
    <row r="430" spans="1:239" customHeight="1" ht="13.2">
      <c r="G430" s="5"/>
      <c r="H430" s="5"/>
      <c r="I430" s="5"/>
      <c r="J430" s="5"/>
    </row>
    <row r="431" spans="1:239" customHeight="1" ht="13.2">
      <c r="G431" s="5"/>
      <c r="H431" s="5"/>
      <c r="I431" s="5"/>
      <c r="J431" s="5"/>
    </row>
    <row r="432" spans="1:239" customHeight="1" ht="13.2">
      <c r="G432" s="5"/>
      <c r="H432" s="5"/>
      <c r="I432" s="5"/>
      <c r="J432" s="5"/>
    </row>
    <row r="433" spans="1:239" customHeight="1" ht="13.2">
      <c r="G433" s="5"/>
      <c r="H433" s="5"/>
      <c r="I433" s="5"/>
      <c r="J433" s="5"/>
    </row>
    <row r="434" spans="1:239" customHeight="1" ht="13.2">
      <c r="G434" s="5"/>
      <c r="H434" s="5"/>
      <c r="I434" s="5"/>
      <c r="J434" s="5"/>
    </row>
    <row r="435" spans="1:239" customHeight="1" ht="13.2">
      <c r="G435" s="5"/>
      <c r="H435" s="5"/>
      <c r="I435" s="5"/>
      <c r="J435" s="5"/>
    </row>
    <row r="436" spans="1:239" customHeight="1" ht="13.2">
      <c r="G436" s="5"/>
      <c r="H436" s="5"/>
      <c r="I436" s="5"/>
      <c r="J436" s="5"/>
    </row>
    <row r="437" spans="1:239" customHeight="1" ht="13.2">
      <c r="G437" s="5"/>
      <c r="H437" s="5"/>
      <c r="I437" s="5"/>
      <c r="J437" s="5"/>
    </row>
    <row r="438" spans="1:239" customHeight="1" ht="13.2">
      <c r="G438" s="5"/>
      <c r="H438" s="5"/>
      <c r="I438" s="5"/>
      <c r="J438" s="5"/>
    </row>
    <row r="439" spans="1:239" customHeight="1" ht="13.2">
      <c r="G439" s="5"/>
      <c r="H439" s="5"/>
      <c r="I439" s="5"/>
      <c r="J439" s="5"/>
    </row>
    <row r="440" spans="1:239" customHeight="1" ht="13.2">
      <c r="G440" s="5"/>
      <c r="H440" s="5"/>
      <c r="I440" s="5"/>
      <c r="J440" s="5"/>
    </row>
    <row r="441" spans="1:239" customHeight="1" ht="13.2">
      <c r="G441" s="5"/>
      <c r="H441" s="5"/>
      <c r="I441" s="5"/>
      <c r="J441" s="5"/>
    </row>
    <row r="442" spans="1:239" customHeight="1" ht="13.2">
      <c r="G442" s="5"/>
      <c r="H442" s="5"/>
      <c r="I442" s="5"/>
      <c r="J442" s="5"/>
    </row>
    <row r="443" spans="1:239" customHeight="1" ht="13.2">
      <c r="G443" s="5"/>
      <c r="H443" s="5"/>
      <c r="I443" s="5"/>
      <c r="J443" s="5"/>
    </row>
    <row r="444" spans="1:239" customHeight="1" ht="13.2">
      <c r="G444" s="5"/>
      <c r="H444" s="5"/>
      <c r="I444" s="5"/>
      <c r="J444" s="5"/>
    </row>
    <row r="445" spans="1:239" customHeight="1" ht="13.2">
      <c r="G445" s="5"/>
      <c r="H445" s="5"/>
      <c r="I445" s="5"/>
      <c r="J445" s="5"/>
    </row>
    <row r="446" spans="1:239" customHeight="1" ht="13.2">
      <c r="G446" s="5"/>
      <c r="H446" s="5"/>
      <c r="I446" s="5"/>
      <c r="J446" s="5"/>
    </row>
    <row r="447" spans="1:239" customHeight="1" ht="13.2">
      <c r="G447" s="5"/>
      <c r="H447" s="5"/>
      <c r="I447" s="5"/>
      <c r="J447" s="5"/>
    </row>
    <row r="448" spans="1:239" customHeight="1" ht="13.2">
      <c r="G448" s="5"/>
      <c r="H448" s="5"/>
      <c r="I448" s="5"/>
      <c r="J448" s="5"/>
    </row>
    <row r="449" spans="1:239" customHeight="1" ht="13.2">
      <c r="G449" s="5"/>
      <c r="H449" s="5"/>
      <c r="I449" s="5"/>
      <c r="J449" s="5"/>
    </row>
    <row r="450" spans="1:239" customHeight="1" ht="13.2">
      <c r="G450" s="5"/>
      <c r="H450" s="5"/>
      <c r="I450" s="5"/>
      <c r="J450" s="5"/>
    </row>
    <row r="451" spans="1:239" customHeight="1" ht="13.2">
      <c r="G451" s="5"/>
      <c r="H451" s="5"/>
      <c r="I451" s="5"/>
      <c r="J451" s="5"/>
    </row>
    <row r="452" spans="1:239" customHeight="1" ht="13.2">
      <c r="G452" s="5"/>
      <c r="H452" s="5"/>
      <c r="I452" s="5"/>
      <c r="J452" s="5"/>
    </row>
    <row r="453" spans="1:239" customHeight="1" ht="13.2">
      <c r="G453" s="5"/>
      <c r="H453" s="5"/>
      <c r="I453" s="5"/>
      <c r="J453" s="5"/>
    </row>
    <row r="454" spans="1:239" customHeight="1" ht="13.2">
      <c r="G454" s="5"/>
      <c r="H454" s="5"/>
      <c r="I454" s="5"/>
      <c r="J454" s="5"/>
    </row>
    <row r="455" spans="1:239" customHeight="1" ht="13.2">
      <c r="G455" s="5"/>
      <c r="H455" s="5"/>
      <c r="I455" s="5"/>
      <c r="J455" s="5"/>
    </row>
    <row r="456" spans="1:239" customHeight="1" ht="13.2">
      <c r="G456" s="5"/>
      <c r="H456" s="5"/>
      <c r="I456" s="5"/>
      <c r="J456" s="5"/>
    </row>
    <row r="457" spans="1:239" customHeight="1" ht="13.2">
      <c r="G457" s="5"/>
      <c r="H457" s="5"/>
      <c r="I457" s="5"/>
      <c r="J457" s="5"/>
    </row>
    <row r="458" spans="1:239" customHeight="1" ht="13.2">
      <c r="G458" s="5"/>
      <c r="H458" s="5"/>
      <c r="I458" s="5"/>
      <c r="J458" s="5"/>
    </row>
    <row r="459" spans="1:239" customHeight="1" ht="13.2">
      <c r="G459" s="5"/>
      <c r="H459" s="5"/>
      <c r="I459" s="5"/>
      <c r="J459" s="5"/>
      <c r="K459" s="5"/>
    </row>
    <row r="460" spans="1:239" customHeight="1" ht="13.2">
      <c r="G460" s="5"/>
      <c r="H460" s="5"/>
      <c r="I460" s="5"/>
      <c r="J460" s="5"/>
      <c r="K460" s="5"/>
    </row>
    <row r="461" spans="1:239" customHeight="1" ht="13.2">
      <c r="G461" s="5"/>
      <c r="H461" s="5"/>
      <c r="I461" s="5"/>
      <c r="J461" s="5"/>
    </row>
    <row r="462" spans="1:239" customHeight="1" ht="13.2">
      <c r="G462" s="5"/>
      <c r="H462" s="5"/>
      <c r="I462" s="5"/>
      <c r="J462" s="5"/>
    </row>
    <row r="463" spans="1:239" customHeight="1" ht="13.2">
      <c r="D463" s="5"/>
      <c r="E463" s="5"/>
      <c r="F463" s="5"/>
      <c r="G463" s="5"/>
      <c r="H463" s="5"/>
      <c r="I463" s="5"/>
      <c r="J463" s="5"/>
      <c r="K463" s="5"/>
      <c r="L463" s="5"/>
    </row>
    <row r="464" spans="1:239" customHeight="1" ht="13.2">
      <c r="D464" s="5"/>
      <c r="E464" s="5"/>
      <c r="F464" s="5"/>
      <c r="G464" s="5"/>
      <c r="H464" s="5"/>
      <c r="I464" s="5"/>
      <c r="J464" s="5"/>
      <c r="K464" s="5"/>
      <c r="L464" s="5"/>
    </row>
    <row r="465" spans="1:239" customHeight="1" ht="13.2">
      <c r="D465" s="5"/>
      <c r="E465" s="5"/>
      <c r="F465" s="5"/>
      <c r="G465" s="5"/>
      <c r="H465" s="5"/>
      <c r="I465" s="5"/>
      <c r="J465" s="5"/>
      <c r="K465" s="5"/>
      <c r="L465" s="5"/>
    </row>
    <row r="466" spans="1:239" customHeight="1" ht="13.2">
      <c r="D466" s="5"/>
      <c r="E466" s="5"/>
      <c r="F466" s="5"/>
      <c r="G466" s="5"/>
      <c r="H466" s="5"/>
      <c r="I466" s="5"/>
      <c r="J466" s="5"/>
      <c r="K466" s="5"/>
      <c r="L466" s="5"/>
    </row>
    <row r="467" spans="1:239" customHeight="1" ht="13.2">
      <c r="D467" s="5"/>
      <c r="E467" s="5"/>
      <c r="F467" s="5"/>
      <c r="G467" s="5"/>
      <c r="H467" s="5"/>
      <c r="I467" s="5"/>
      <c r="J467" s="5"/>
      <c r="K467" s="5"/>
      <c r="L467" s="5"/>
    </row>
    <row r="468" spans="1:239" customHeight="1" ht="13.2">
      <c r="D468" s="5"/>
      <c r="E468" s="5"/>
      <c r="F468" s="5"/>
      <c r="G468" s="5"/>
      <c r="H468" s="5"/>
      <c r="I468" s="5"/>
      <c r="J468" s="5"/>
      <c r="K468" s="5"/>
      <c r="L468" s="5"/>
    </row>
    <row r="469" spans="1:239" customHeight="1" ht="13.2">
      <c r="D469" s="5"/>
      <c r="E469" s="5"/>
      <c r="F469" s="5"/>
      <c r="G469" s="5"/>
      <c r="H469" s="5"/>
      <c r="I469" s="5"/>
      <c r="J469" s="5"/>
      <c r="K469" s="5"/>
      <c r="L469" s="5"/>
    </row>
    <row r="470" spans="1:239" customHeight="1" ht="13.2">
      <c r="D470" s="5"/>
      <c r="E470" s="5"/>
      <c r="F470" s="5"/>
      <c r="G470" s="5"/>
      <c r="H470" s="5"/>
      <c r="I470" s="5"/>
      <c r="J470" s="5"/>
      <c r="K470" s="5"/>
      <c r="L470" s="5"/>
    </row>
    <row r="471" spans="1:239" customHeight="1" ht="13.2">
      <c r="D471" s="5"/>
      <c r="E471" s="5"/>
      <c r="F471" s="5"/>
      <c r="G471" s="5"/>
      <c r="H471" s="5"/>
      <c r="I471" s="5"/>
      <c r="J471" s="5"/>
      <c r="K471" s="5"/>
      <c r="L471" s="5"/>
    </row>
    <row r="472" spans="1:239" customHeight="1" ht="13.2">
      <c r="D472" s="5"/>
      <c r="E472" s="5"/>
      <c r="F472" s="5"/>
      <c r="G472" s="5"/>
      <c r="H472" s="5"/>
      <c r="I472" s="5"/>
      <c r="J472" s="5"/>
      <c r="K472" s="5"/>
      <c r="L472" s="5"/>
    </row>
    <row r="473" spans="1:239" customHeight="1" ht="13.2">
      <c r="D473" s="5"/>
      <c r="E473" s="5"/>
      <c r="F473" s="5"/>
      <c r="G473" s="5"/>
      <c r="H473" s="5"/>
      <c r="I473" s="5"/>
      <c r="J473" s="5"/>
      <c r="K473" s="5"/>
      <c r="L473" s="5"/>
    </row>
    <row r="474" spans="1:239" customHeight="1" ht="13.2">
      <c r="D474" s="5"/>
      <c r="E474" s="5"/>
      <c r="F474" s="5"/>
      <c r="G474" s="5"/>
      <c r="H474" s="5"/>
      <c r="I474" s="5"/>
      <c r="J474" s="5"/>
      <c r="K474" s="5"/>
      <c r="L474" s="5"/>
    </row>
    <row r="475" spans="1:239" customHeight="1" ht="13.2">
      <c r="D475" s="5"/>
      <c r="E475" s="5"/>
      <c r="F475" s="5"/>
      <c r="G475" s="5"/>
      <c r="H475" s="5"/>
      <c r="I475" s="5"/>
      <c r="J475" s="5"/>
      <c r="K475" s="5"/>
      <c r="L475" s="5"/>
    </row>
    <row r="476" spans="1:239" customHeight="1" ht="13.2">
      <c r="D476" s="5"/>
      <c r="E476" s="5"/>
      <c r="F476" s="5"/>
      <c r="G476" s="5"/>
      <c r="H476" s="5"/>
      <c r="I476" s="5"/>
      <c r="J476" s="5"/>
      <c r="K476" s="5"/>
      <c r="L476" s="5"/>
    </row>
    <row r="477" spans="1:239" customHeight="1" ht="13.2">
      <c r="D477" s="5"/>
      <c r="E477" s="5"/>
      <c r="F477" s="5"/>
      <c r="G477" s="5"/>
      <c r="H477" s="5"/>
      <c r="I477" s="5"/>
      <c r="J477" s="5"/>
      <c r="K477" s="5"/>
      <c r="L477" s="5"/>
    </row>
    <row r="478" spans="1:239" customHeight="1" ht="13.2">
      <c r="D478" s="5"/>
      <c r="E478" s="5"/>
      <c r="F478" s="5"/>
      <c r="G478" s="5"/>
      <c r="H478" s="5"/>
      <c r="I478" s="5"/>
      <c r="J478" s="5"/>
      <c r="K478" s="5"/>
      <c r="L478" s="5"/>
    </row>
    <row r="479" spans="1:239" customHeight="1" ht="13.2">
      <c r="G479" s="5"/>
      <c r="H479" s="5"/>
      <c r="I479" s="5"/>
      <c r="J479" s="5"/>
    </row>
    <row r="480" spans="1:239" customHeight="1" ht="13.2">
      <c r="B480" s="5"/>
      <c r="C480" s="5"/>
      <c r="D480" s="5"/>
      <c r="E480" s="5"/>
      <c r="F480" s="5"/>
      <c r="G480" s="5"/>
      <c r="H480" s="5"/>
      <c r="I480" s="5"/>
      <c r="J480" s="5"/>
    </row>
    <row r="481" spans="1:239" customHeight="1" ht="13.2">
      <c r="B481" s="5"/>
      <c r="C481" s="5"/>
      <c r="D481" s="5"/>
      <c r="E481" s="5"/>
      <c r="F481" s="5"/>
      <c r="G481" s="5"/>
      <c r="H481" s="5"/>
      <c r="I481" s="5"/>
      <c r="J481" s="5"/>
    </row>
    <row r="482" spans="1:239" customHeight="1" ht="13.2">
      <c r="B482" s="5"/>
      <c r="C482" s="5"/>
      <c r="D482" s="5"/>
      <c r="E482" s="5"/>
      <c r="F482" s="5"/>
      <c r="G482" s="5"/>
      <c r="H482" s="5"/>
      <c r="I482" s="5"/>
      <c r="J482" s="5"/>
    </row>
    <row r="483" spans="1:239" customHeight="1" ht="13.2">
      <c r="B483" s="5"/>
      <c r="C483" s="5"/>
      <c r="D483" s="5"/>
      <c r="E483" s="5"/>
      <c r="F483" s="5"/>
      <c r="G483" s="5"/>
      <c r="H483" s="5"/>
      <c r="I483" s="5"/>
      <c r="J483" s="5"/>
    </row>
    <row r="484" spans="1:239" customHeight="1" ht="13.2">
      <c r="G484" s="5"/>
      <c r="H484" s="5"/>
      <c r="I484" s="5"/>
      <c r="J484" s="5"/>
    </row>
    <row r="485" spans="1:239" customHeight="1" ht="13.2">
      <c r="G485" s="5"/>
      <c r="H485" s="5"/>
      <c r="I485" s="5"/>
      <c r="J485" s="5"/>
    </row>
    <row r="486" spans="1:239" customHeight="1" ht="13.2">
      <c r="G486" s="5"/>
      <c r="H486" s="5"/>
      <c r="I486" s="5"/>
      <c r="J486" s="5"/>
    </row>
    <row r="487" spans="1:239" customHeight="1" ht="13.2">
      <c r="G487" s="5"/>
      <c r="H487" s="5"/>
      <c r="I487" s="5"/>
      <c r="J487" s="5"/>
    </row>
    <row r="488" spans="1:239" customHeight="1" ht="13.2">
      <c r="G488" s="5"/>
      <c r="H488" s="5"/>
      <c r="I488" s="5"/>
      <c r="J488" s="5"/>
    </row>
    <row r="489" spans="1:239" customHeight="1" ht="13.2">
      <c r="G489" s="5"/>
      <c r="H489" s="5"/>
      <c r="I489" s="5"/>
      <c r="J489" s="5"/>
    </row>
    <row r="490" spans="1:239" customHeight="1" ht="13.2">
      <c r="G490" s="5"/>
      <c r="H490" s="5"/>
      <c r="I490" s="5"/>
      <c r="J490" s="5"/>
    </row>
    <row r="491" spans="1:239" customHeight="1" ht="13.2">
      <c r="G491" s="5"/>
      <c r="H491" s="5"/>
      <c r="I491" s="5"/>
      <c r="J491" s="5"/>
    </row>
    <row r="492" spans="1:239" customHeight="1" ht="13.2">
      <c r="G492" s="5"/>
      <c r="H492" s="5"/>
      <c r="I492" s="5"/>
      <c r="J492" s="5"/>
    </row>
    <row r="493" spans="1:239" customHeight="1" ht="13.2">
      <c r="G493" s="5"/>
      <c r="H493" s="5"/>
      <c r="I493" s="5"/>
      <c r="J493" s="5"/>
    </row>
    <row r="494" spans="1:239" customHeight="1" ht="13.2">
      <c r="G494" s="5"/>
      <c r="H494" s="5"/>
      <c r="I494" s="5"/>
      <c r="J494" s="5"/>
    </row>
    <row r="495" spans="1:239" customHeight="1" ht="13.2">
      <c r="G495" s="5"/>
      <c r="H495" s="5"/>
      <c r="I495" s="5"/>
      <c r="J495" s="5"/>
    </row>
    <row r="496" spans="1:239" customHeight="1" ht="13.2">
      <c r="G496" s="5"/>
      <c r="H496" s="5"/>
      <c r="I496" s="5"/>
      <c r="J496" s="5"/>
    </row>
    <row r="497" spans="1:239" customHeight="1" ht="13.2">
      <c r="G497" s="5"/>
      <c r="H497" s="5"/>
      <c r="I497" s="5"/>
      <c r="J497" s="5"/>
    </row>
    <row r="498" spans="1:239" customHeight="1" ht="13.2">
      <c r="G498" s="5"/>
      <c r="H498" s="5"/>
      <c r="I498" s="5"/>
      <c r="J498" s="5"/>
    </row>
    <row r="499" spans="1:239" customHeight="1" ht="13.2">
      <c r="G499" s="5"/>
      <c r="H499" s="5"/>
      <c r="I499" s="5"/>
      <c r="J499" s="5"/>
    </row>
    <row r="500" spans="1:239" customHeight="1" ht="13.2">
      <c r="G500" s="5"/>
      <c r="H500" s="5"/>
      <c r="I500" s="5"/>
      <c r="J500" s="5"/>
    </row>
    <row r="501" spans="1:239" customHeight="1" ht="13.2">
      <c r="G501" s="5"/>
      <c r="H501" s="5"/>
      <c r="I501" s="5"/>
      <c r="J501" s="5"/>
    </row>
    <row r="502" spans="1:239" customHeight="1" ht="13.2">
      <c r="G502" s="5"/>
      <c r="H502" s="5"/>
      <c r="I502" s="5"/>
      <c r="J502" s="5"/>
    </row>
    <row r="503" spans="1:239" customHeight="1" ht="13.2">
      <c r="G503" s="5"/>
      <c r="H503" s="5"/>
      <c r="I503" s="5"/>
      <c r="J503" s="5"/>
    </row>
    <row r="504" spans="1:239" customHeight="1" ht="13.2">
      <c r="G504" s="5"/>
      <c r="H504" s="5"/>
      <c r="I504" s="5"/>
      <c r="J504" s="5"/>
    </row>
    <row r="505" spans="1:239" customHeight="1" ht="13.2">
      <c r="G505" s="5"/>
      <c r="H505" s="5"/>
      <c r="I505" s="5"/>
      <c r="J505" s="5"/>
    </row>
    <row r="506" spans="1:239" customHeight="1" ht="13.2">
      <c r="G506" s="5"/>
      <c r="H506" s="5"/>
      <c r="I506" s="5"/>
      <c r="J506" s="5"/>
    </row>
    <row r="507" spans="1:239" customHeight="1" ht="13.2">
      <c r="G507" s="5"/>
      <c r="H507" s="5"/>
      <c r="I507" s="5"/>
      <c r="J507" s="5"/>
    </row>
    <row r="508" spans="1:239" customHeight="1" ht="13.2">
      <c r="G508" s="5"/>
      <c r="H508" s="5"/>
      <c r="I508" s="5"/>
      <c r="J508" s="5"/>
    </row>
    <row r="509" spans="1:239" customHeight="1" ht="13.2">
      <c r="G509" s="5"/>
      <c r="H509" s="5"/>
      <c r="I509" s="5"/>
      <c r="J509" s="5"/>
    </row>
    <row r="510" spans="1:239" customHeight="1" ht="13.2">
      <c r="G510" s="5"/>
      <c r="H510" s="5"/>
      <c r="I510" s="5"/>
      <c r="J510" s="5"/>
    </row>
    <row r="511" spans="1:239" customHeight="1" ht="13.2">
      <c r="G511" s="5"/>
      <c r="H511" s="5"/>
      <c r="I511" s="5"/>
      <c r="J511" s="5"/>
    </row>
    <row r="512" spans="1:239" customHeight="1" ht="13.2">
      <c r="G512" s="5"/>
      <c r="H512" s="5"/>
      <c r="I512" s="5"/>
      <c r="J512" s="5"/>
    </row>
    <row r="513" spans="1:239" customHeight="1" ht="13.2">
      <c r="G513" s="5"/>
      <c r="H513" s="5"/>
      <c r="I513" s="5"/>
      <c r="J513" s="5"/>
    </row>
    <row r="514" spans="1:239" customHeight="1" ht="13.2">
      <c r="G514" s="5"/>
      <c r="H514" s="5"/>
      <c r="I514" s="5"/>
      <c r="J514" s="5"/>
    </row>
    <row r="515" spans="1:239" customHeight="1" ht="13.2">
      <c r="G515" s="5"/>
      <c r="H515" s="5"/>
      <c r="I515" s="5"/>
      <c r="J515" s="5"/>
    </row>
    <row r="516" spans="1:239" customHeight="1" ht="13.2">
      <c r="G516" s="5"/>
      <c r="H516" s="5"/>
      <c r="I516" s="5"/>
      <c r="J516" s="5"/>
    </row>
    <row r="517" spans="1:239" customHeight="1" ht="13.2">
      <c r="G517" s="5"/>
      <c r="H517" s="5"/>
      <c r="I517" s="5"/>
      <c r="J517" s="5"/>
    </row>
    <row r="518" spans="1:239" customHeight="1" ht="13.2">
      <c r="G518" s="5"/>
      <c r="H518" s="5"/>
      <c r="I518" s="5"/>
      <c r="J518" s="5"/>
    </row>
    <row r="519" spans="1:239" customHeight="1" ht="13.2">
      <c r="G519" s="5"/>
      <c r="H519" s="5"/>
      <c r="I519" s="5"/>
      <c r="J519" s="5"/>
    </row>
    <row r="520" spans="1:239" customHeight="1" ht="13.2">
      <c r="G520" s="5"/>
      <c r="H520" s="5"/>
      <c r="I520" s="5"/>
      <c r="J520" s="5"/>
    </row>
    <row r="521" spans="1:239" customHeight="1" ht="13.2">
      <c r="G521" s="5"/>
      <c r="H521" s="5"/>
      <c r="I521" s="5"/>
      <c r="J521" s="5"/>
    </row>
    <row r="522" spans="1:239" customHeight="1" ht="13.2">
      <c r="G522" s="5"/>
      <c r="H522" s="5"/>
      <c r="I522" s="5"/>
      <c r="J522" s="5"/>
    </row>
    <row r="523" spans="1:239" customHeight="1" ht="13.2">
      <c r="G523" s="5"/>
      <c r="H523" s="5"/>
      <c r="I523" s="5"/>
      <c r="J523" s="5"/>
    </row>
    <row r="524" spans="1:239" customHeight="1" ht="13.2">
      <c r="G524" s="5"/>
      <c r="H524" s="5"/>
      <c r="I524" s="5"/>
      <c r="J524" s="5"/>
    </row>
    <row r="525" spans="1:239" customHeight="1" ht="13.2">
      <c r="G525" s="5"/>
      <c r="H525" s="5"/>
      <c r="I525" s="5"/>
      <c r="J525" s="5"/>
    </row>
    <row r="526" spans="1:239" customHeight="1" ht="13.2">
      <c r="G526" s="5"/>
      <c r="H526" s="5"/>
      <c r="I526" s="5"/>
      <c r="J526" s="5"/>
    </row>
    <row r="527" spans="1:239" customHeight="1" ht="13.2">
      <c r="G527" s="5"/>
      <c r="H527" s="5"/>
      <c r="I527" s="5"/>
      <c r="J527" s="5"/>
    </row>
    <row r="528" spans="1:239" customHeight="1" ht="13.2">
      <c r="G528" s="5"/>
      <c r="H528" s="5"/>
      <c r="I528" s="5"/>
      <c r="J528" s="5"/>
    </row>
    <row r="529" spans="1:239" customHeight="1" ht="13.2">
      <c r="G529" s="5"/>
      <c r="H529" s="5"/>
      <c r="I529" s="5"/>
      <c r="J529" s="5"/>
    </row>
    <row r="530" spans="1:239" customHeight="1" ht="13.2">
      <c r="G530" s="5"/>
      <c r="H530" s="5"/>
      <c r="I530" s="5"/>
      <c r="J530" s="5"/>
    </row>
    <row r="531" spans="1:239" customHeight="1" ht="13.2">
      <c r="G531" s="5"/>
      <c r="H531" s="5"/>
      <c r="I531" s="5"/>
      <c r="J531" s="5"/>
    </row>
    <row r="532" spans="1:239" customHeight="1" ht="13.2">
      <c r="G532" s="5"/>
      <c r="H532" s="5"/>
      <c r="I532" s="5"/>
      <c r="J532" s="5"/>
    </row>
    <row r="533" spans="1:239" customHeight="1" ht="13.2">
      <c r="G533" s="5"/>
      <c r="H533" s="5"/>
      <c r="I533" s="5"/>
      <c r="J533" s="5"/>
    </row>
    <row r="534" spans="1:239" customHeight="1" ht="13.2">
      <c r="G534" s="5"/>
      <c r="H534" s="5"/>
      <c r="I534" s="5"/>
      <c r="J534" s="5"/>
    </row>
    <row r="535" spans="1:239" customHeight="1" ht="13.2">
      <c r="G535" s="5"/>
      <c r="H535" s="5"/>
      <c r="I535" s="5"/>
      <c r="J535" s="5"/>
    </row>
    <row r="536" spans="1:239" customHeight="1" ht="13.2">
      <c r="G536" s="5"/>
      <c r="H536" s="5"/>
      <c r="I536" s="5"/>
      <c r="J536" s="5"/>
    </row>
    <row r="537" spans="1:239" customHeight="1" ht="13.2">
      <c r="G537" s="5"/>
      <c r="H537" s="5"/>
      <c r="I537" s="5"/>
      <c r="J537" s="5"/>
    </row>
    <row r="538" spans="1:239" customHeight="1" ht="13.2">
      <c r="G538" s="5"/>
      <c r="H538" s="5"/>
      <c r="I538" s="5"/>
      <c r="J538" s="5"/>
    </row>
    <row r="539" spans="1:239" customHeight="1" ht="13.2">
      <c r="G539" s="5"/>
      <c r="H539" s="5"/>
      <c r="I539" s="5"/>
      <c r="J539" s="5"/>
    </row>
    <row r="540" spans="1:239" customHeight="1" ht="13.2">
      <c r="G540" s="5"/>
      <c r="H540" s="5"/>
      <c r="I540" s="5"/>
      <c r="J540" s="5"/>
    </row>
    <row r="541" spans="1:239" customHeight="1" ht="13.2">
      <c r="G541" s="5"/>
      <c r="H541" s="5"/>
      <c r="I541" s="5"/>
      <c r="J541" s="5"/>
    </row>
    <row r="542" spans="1:239" customHeight="1" ht="13.2">
      <c r="G542" s="5"/>
      <c r="H542" s="5"/>
      <c r="I542" s="5"/>
      <c r="J542" s="5"/>
    </row>
    <row r="543" spans="1:239" customHeight="1" ht="13.2">
      <c r="G543" s="5"/>
      <c r="H543" s="5"/>
      <c r="I543" s="5"/>
      <c r="J543" s="5"/>
    </row>
    <row r="544" spans="1:239" customHeight="1" ht="13.2">
      <c r="G544" s="5"/>
      <c r="H544" s="5"/>
      <c r="I544" s="5"/>
      <c r="J544" s="5"/>
    </row>
    <row r="545" spans="1:239" customHeight="1" ht="13.2">
      <c r="G545" s="5"/>
      <c r="H545" s="5"/>
      <c r="I545" s="5"/>
      <c r="J545" s="5"/>
    </row>
    <row r="546" spans="1:239" customHeight="1" ht="13.2">
      <c r="G546" s="5"/>
      <c r="H546" s="5"/>
      <c r="I546" s="5"/>
      <c r="J546" s="5"/>
    </row>
    <row r="547" spans="1:239" customHeight="1" ht="13.2">
      <c r="G547" s="5"/>
      <c r="H547" s="5"/>
      <c r="I547" s="5"/>
      <c r="J547" s="5"/>
    </row>
    <row r="548" spans="1:239" customHeight="1" ht="13.2">
      <c r="G548" s="5"/>
      <c r="H548" s="5"/>
      <c r="I548" s="5"/>
      <c r="J548" s="5"/>
    </row>
    <row r="549" spans="1:239" customHeight="1" ht="13.2">
      <c r="G549" s="5"/>
      <c r="H549" s="5"/>
      <c r="I549" s="5"/>
      <c r="J549" s="5"/>
    </row>
    <row r="550" spans="1:239" customHeight="1" ht="13.2">
      <c r="G550" s="5"/>
      <c r="H550" s="5"/>
      <c r="I550" s="5"/>
      <c r="J550" s="5"/>
    </row>
    <row r="551" spans="1:239" customHeight="1" ht="13.2">
      <c r="G551" s="5"/>
      <c r="H551" s="5"/>
      <c r="I551" s="5"/>
      <c r="J551" s="5"/>
    </row>
    <row r="552" spans="1:239" customHeight="1" ht="13.2">
      <c r="G552" s="5"/>
      <c r="H552" s="5"/>
      <c r="I552" s="5"/>
      <c r="J552" s="5"/>
    </row>
    <row r="553" spans="1:239" customHeight="1" ht="13.2">
      <c r="G553" s="5"/>
      <c r="H553" s="5"/>
      <c r="I553" s="5"/>
      <c r="J553" s="5"/>
    </row>
    <row r="554" spans="1:239" customHeight="1" ht="13.2">
      <c r="G554" s="5"/>
      <c r="H554" s="5"/>
      <c r="I554" s="5"/>
      <c r="J554" s="5"/>
    </row>
    <row r="555" spans="1:239" customHeight="1" ht="13.2">
      <c r="G555" s="5"/>
      <c r="H555" s="5"/>
      <c r="I555" s="5"/>
      <c r="J555" s="5"/>
    </row>
    <row r="556" spans="1:239" customHeight="1" ht="13.2">
      <c r="G556" s="5"/>
      <c r="H556" s="5"/>
      <c r="I556" s="5"/>
      <c r="J556" s="5"/>
    </row>
    <row r="557" spans="1:239" customHeight="1" ht="13.2">
      <c r="G557" s="5"/>
      <c r="H557" s="5"/>
      <c r="I557" s="5"/>
      <c r="J557" s="5"/>
    </row>
    <row r="558" spans="1:239" customHeight="1" ht="13.2">
      <c r="G558" s="5"/>
      <c r="H558" s="5"/>
      <c r="I558" s="5"/>
      <c r="J558" s="5"/>
    </row>
    <row r="559" spans="1:239" customHeight="1" ht="13.2">
      <c r="G559" s="5"/>
      <c r="H559" s="5"/>
      <c r="I559" s="5"/>
      <c r="J559" s="5"/>
    </row>
    <row r="560" spans="1:239" customHeight="1" ht="13.2">
      <c r="G560" s="5"/>
      <c r="H560" s="5"/>
      <c r="I560" s="5"/>
      <c r="J560" s="5"/>
    </row>
    <row r="561" spans="1:239" customHeight="1" ht="13.2">
      <c r="G561" s="5"/>
      <c r="H561" s="5"/>
      <c r="I561" s="5"/>
      <c r="J561" s="5"/>
    </row>
    <row r="562" spans="1:239" customHeight="1" ht="13.2">
      <c r="G562" s="5"/>
      <c r="H562" s="5"/>
      <c r="I562" s="5"/>
      <c r="J562" s="5"/>
    </row>
    <row r="563" spans="1:239" customHeight="1" ht="13.2">
      <c r="G563" s="5"/>
      <c r="H563" s="5"/>
      <c r="I563" s="5"/>
      <c r="J563" s="5"/>
    </row>
    <row r="564" spans="1:239" customHeight="1" ht="13.2">
      <c r="G564" s="5"/>
      <c r="H564" s="5"/>
      <c r="I564" s="5"/>
      <c r="J564" s="5"/>
    </row>
    <row r="565" spans="1:239" customHeight="1" ht="13.2">
      <c r="G565" s="5"/>
      <c r="H565" s="5"/>
      <c r="I565" s="5"/>
      <c r="J565" s="5"/>
    </row>
    <row r="566" spans="1:239" customHeight="1" ht="13.2">
      <c r="G566" s="5"/>
      <c r="H566" s="5"/>
      <c r="I566" s="5"/>
      <c r="J566" s="5"/>
    </row>
    <row r="567" spans="1:239" customHeight="1" ht="13.2">
      <c r="G567" s="5"/>
      <c r="H567" s="5"/>
      <c r="I567" s="5"/>
      <c r="J567" s="5"/>
    </row>
    <row r="568" spans="1:239" customHeight="1" ht="13.2">
      <c r="G568" s="5"/>
      <c r="H568" s="5"/>
      <c r="I568" s="5"/>
      <c r="J568" s="5"/>
    </row>
    <row r="569" spans="1:239" customHeight="1" ht="13.2">
      <c r="G569" s="5"/>
      <c r="H569" s="5"/>
      <c r="I569" s="5"/>
      <c r="J569" s="5"/>
    </row>
    <row r="570" spans="1:239" customHeight="1" ht="13.2">
      <c r="G570" s="5"/>
      <c r="H570" s="5"/>
      <c r="I570" s="5"/>
      <c r="J570" s="5"/>
    </row>
    <row r="571" spans="1:239" customHeight="1" ht="13.2">
      <c r="G571" s="5"/>
      <c r="H571" s="5"/>
      <c r="I571" s="5"/>
      <c r="J571" s="5"/>
    </row>
    <row r="572" spans="1:239" customHeight="1" ht="13.2">
      <c r="G572" s="5"/>
      <c r="H572" s="5"/>
      <c r="I572" s="5"/>
      <c r="J572" s="5"/>
    </row>
    <row r="573" spans="1:239" customHeight="1" ht="13.2">
      <c r="G573" s="5"/>
      <c r="H573" s="5"/>
      <c r="I573" s="5"/>
      <c r="J573" s="5"/>
    </row>
    <row r="574" spans="1:239" customHeight="1" ht="13.2">
      <c r="G574" s="5"/>
      <c r="H574" s="5"/>
      <c r="I574" s="5"/>
      <c r="J574" s="5"/>
    </row>
    <row r="575" spans="1:239" customHeight="1" ht="13.2">
      <c r="G575" s="5"/>
      <c r="H575" s="5"/>
      <c r="I575" s="5"/>
      <c r="J575" s="5"/>
    </row>
    <row r="576" spans="1:239" customHeight="1" ht="13.2">
      <c r="G576" s="5"/>
      <c r="H576" s="5"/>
      <c r="I576" s="5"/>
      <c r="J576" s="5"/>
    </row>
    <row r="577" spans="1:239" customHeight="1" ht="13.2">
      <c r="G577" s="5"/>
      <c r="H577" s="5"/>
      <c r="I577" s="5"/>
      <c r="J577" s="5"/>
    </row>
    <row r="578" spans="1:239" customHeight="1" ht="13.2">
      <c r="G578" s="5"/>
      <c r="H578" s="5"/>
      <c r="I578" s="5"/>
      <c r="J578" s="5"/>
    </row>
    <row r="579" spans="1:239" customHeight="1" ht="13.2">
      <c r="G579" s="5"/>
      <c r="H579" s="5"/>
      <c r="I579" s="5"/>
      <c r="J579" s="5"/>
    </row>
    <row r="580" spans="1:239" customHeight="1" ht="13.2">
      <c r="G580" s="5"/>
      <c r="H580" s="5"/>
      <c r="I580" s="5"/>
      <c r="J580" s="5"/>
    </row>
    <row r="581" spans="1:239" customHeight="1" ht="13.2">
      <c r="G581" s="5"/>
      <c r="H581" s="5"/>
      <c r="I581" s="5"/>
      <c r="J581" s="5"/>
    </row>
    <row r="582" spans="1:239" customHeight="1" ht="13.2">
      <c r="G582" s="5"/>
      <c r="H582" s="5"/>
      <c r="I582" s="5"/>
      <c r="J582" s="5"/>
    </row>
    <row r="583" spans="1:239" customHeight="1" ht="13.2">
      <c r="G583" s="5"/>
      <c r="H583" s="5"/>
      <c r="I583" s="5"/>
      <c r="J583" s="5"/>
    </row>
    <row r="584" spans="1:239" customHeight="1" ht="13.2">
      <c r="G584" s="5"/>
      <c r="H584" s="5"/>
      <c r="I584" s="5"/>
      <c r="J584" s="5"/>
    </row>
    <row r="585" spans="1:239" customHeight="1" ht="13.2">
      <c r="G585" s="5"/>
      <c r="H585" s="5"/>
      <c r="I585" s="5"/>
      <c r="J585" s="5"/>
    </row>
    <row r="586" spans="1:239" customHeight="1" ht="13.2">
      <c r="G586" s="5"/>
      <c r="H586" s="5"/>
      <c r="I586" s="5"/>
      <c r="J586" s="5"/>
    </row>
    <row r="587" spans="1:239" customHeight="1" ht="13.2">
      <c r="G587" s="5"/>
      <c r="H587" s="5"/>
      <c r="I587" s="5"/>
      <c r="J587" s="5"/>
    </row>
    <row r="588" spans="1:239" customHeight="1" ht="13.2">
      <c r="G588" s="5"/>
      <c r="H588" s="5"/>
      <c r="I588" s="5"/>
      <c r="J588" s="5"/>
    </row>
    <row r="589" spans="1:239" customHeight="1" ht="13.2">
      <c r="G589" s="5"/>
      <c r="H589" s="5"/>
      <c r="I589" s="5"/>
      <c r="J589" s="5"/>
    </row>
    <row r="590" spans="1:239" customHeight="1" ht="13.2">
      <c r="G590" s="5"/>
      <c r="H590" s="5"/>
      <c r="I590" s="5"/>
      <c r="J590" s="5"/>
    </row>
    <row r="591" spans="1:239" customHeight="1" ht="13.2">
      <c r="G591" s="5"/>
      <c r="H591" s="5"/>
      <c r="I591" s="5"/>
      <c r="J591" s="5"/>
    </row>
    <row r="592" spans="1:239" customHeight="1" ht="13.2">
      <c r="G592" s="5"/>
      <c r="H592" s="5"/>
      <c r="I592" s="5"/>
      <c r="J592" s="5"/>
    </row>
    <row r="593" spans="1:239" customHeight="1" ht="13.2">
      <c r="G593" s="5"/>
      <c r="H593" s="5"/>
      <c r="I593" s="5"/>
      <c r="J593" s="5"/>
    </row>
    <row r="594" spans="1:239" customHeight="1" ht="13.2">
      <c r="G594" s="5"/>
      <c r="H594" s="5"/>
      <c r="I594" s="5"/>
      <c r="J594" s="5"/>
    </row>
    <row r="595" spans="1:239" customHeight="1" ht="13.2">
      <c r="G595" s="5"/>
      <c r="H595" s="5"/>
      <c r="I595" s="5"/>
      <c r="J595" s="5"/>
    </row>
    <row r="596" spans="1:239" customHeight="1" ht="13.2">
      <c r="G596" s="5"/>
      <c r="H596" s="5"/>
      <c r="I596" s="5"/>
      <c r="J596" s="5"/>
    </row>
    <row r="597" spans="1:239" customHeight="1" ht="13.2">
      <c r="G597" s="5"/>
      <c r="H597" s="5"/>
      <c r="I597" s="5"/>
      <c r="J597" s="5"/>
    </row>
    <row r="598" spans="1:239" customHeight="1" ht="13.2">
      <c r="G598" s="5"/>
      <c r="H598" s="5"/>
      <c r="I598" s="5"/>
      <c r="J598" s="5"/>
    </row>
    <row r="599" spans="1:239" customHeight="1" ht="13.2">
      <c r="G599" s="5"/>
      <c r="H599" s="5"/>
      <c r="I599" s="5"/>
      <c r="J599" s="5"/>
    </row>
    <row r="600" spans="1:239" customHeight="1" ht="13.2">
      <c r="G600" s="5"/>
      <c r="H600" s="5"/>
      <c r="I600" s="5"/>
      <c r="J600" s="5"/>
    </row>
    <row r="601" spans="1:239" customHeight="1" ht="13.2">
      <c r="G601" s="5"/>
      <c r="H601" s="5"/>
      <c r="I601" s="5"/>
      <c r="J601" s="5"/>
    </row>
    <row r="602" spans="1:239" customHeight="1" ht="13.2">
      <c r="G602" s="5"/>
      <c r="H602" s="5"/>
      <c r="I602" s="5"/>
      <c r="J602" s="5"/>
    </row>
    <row r="603" spans="1:239" customHeight="1" ht="13.2">
      <c r="G603" s="5"/>
      <c r="H603" s="5"/>
      <c r="I603" s="5"/>
      <c r="J603" s="5"/>
    </row>
    <row r="604" spans="1:239" customHeight="1" ht="13.2">
      <c r="G604" s="5"/>
      <c r="H604" s="5"/>
      <c r="I604" s="5"/>
      <c r="J604" s="5"/>
    </row>
    <row r="605" spans="1:239" customHeight="1" ht="13.2">
      <c r="G605" s="5"/>
      <c r="H605" s="5"/>
      <c r="I605" s="5"/>
      <c r="J605" s="5"/>
    </row>
    <row r="606" spans="1:239" customHeight="1" ht="13.2">
      <c r="G606" s="5"/>
      <c r="H606" s="5"/>
      <c r="I606" s="5"/>
      <c r="J606" s="5"/>
    </row>
    <row r="607" spans="1:239" customHeight="1" ht="13.2">
      <c r="G607" s="5"/>
      <c r="H607" s="5"/>
      <c r="I607" s="5"/>
      <c r="J607" s="5"/>
    </row>
    <row r="608" spans="1:239" customHeight="1" ht="13.2">
      <c r="G608" s="5"/>
      <c r="H608" s="5"/>
      <c r="I608" s="5"/>
      <c r="J608" s="5"/>
    </row>
    <row r="609" spans="1:239" customHeight="1" ht="13.2">
      <c r="G609" s="5"/>
      <c r="H609" s="5"/>
      <c r="I609" s="5"/>
      <c r="J609" s="5"/>
    </row>
    <row r="610" spans="1:239" customHeight="1" ht="13.2">
      <c r="G610" s="5"/>
      <c r="H610" s="5"/>
      <c r="I610" s="5"/>
      <c r="J610" s="5"/>
    </row>
    <row r="611" spans="1:239" customHeight="1" ht="13.2">
      <c r="G611" s="5"/>
      <c r="H611" s="5"/>
      <c r="I611" s="5"/>
      <c r="J611" s="5"/>
    </row>
    <row r="612" spans="1:239" customHeight="1" ht="13.2">
      <c r="G612" s="5"/>
      <c r="H612" s="5"/>
      <c r="I612" s="5"/>
      <c r="J612" s="5"/>
    </row>
    <row r="613" spans="1:239" customHeight="1" ht="13.2">
      <c r="G613" s="5"/>
      <c r="H613" s="5"/>
      <c r="I613" s="5"/>
      <c r="J613" s="5"/>
    </row>
    <row r="614" spans="1:239" customHeight="1" ht="13.2">
      <c r="G614" s="5"/>
      <c r="H614" s="5"/>
      <c r="I614" s="5"/>
      <c r="J614" s="5"/>
    </row>
    <row r="615" spans="1:239" customHeight="1" ht="13.2">
      <c r="G615" s="5"/>
      <c r="H615" s="5"/>
      <c r="I615" s="5"/>
      <c r="J615" s="5"/>
    </row>
    <row r="616" spans="1:239" customHeight="1" ht="13.2">
      <c r="G616" s="5"/>
      <c r="H616" s="5"/>
      <c r="I616" s="5"/>
      <c r="J616" s="5"/>
    </row>
    <row r="617" spans="1:239" customHeight="1" ht="13.2">
      <c r="G617" s="5"/>
      <c r="H617" s="5"/>
      <c r="I617" s="5"/>
      <c r="J617" s="5"/>
    </row>
    <row r="618" spans="1:239" customHeight="1" ht="13.2">
      <c r="G618" s="5"/>
      <c r="H618" s="5"/>
      <c r="I618" s="5"/>
      <c r="J618" s="5"/>
    </row>
    <row r="619" spans="1:239" customHeight="1" ht="13.2">
      <c r="G619" s="5"/>
      <c r="H619" s="5"/>
      <c r="I619" s="5"/>
      <c r="J619" s="5"/>
    </row>
    <row r="620" spans="1:239" customHeight="1" ht="13.2">
      <c r="G620" s="5"/>
      <c r="H620" s="5"/>
      <c r="I620" s="5"/>
      <c r="J620" s="5"/>
    </row>
    <row r="621" spans="1:239" customHeight="1" ht="13.2">
      <c r="G621" s="5"/>
      <c r="H621" s="5"/>
      <c r="I621" s="5"/>
      <c r="J621" s="5"/>
    </row>
    <row r="622" spans="1:239" customHeight="1" ht="13.2">
      <c r="G622" s="5"/>
      <c r="H622" s="5"/>
      <c r="I622" s="5"/>
      <c r="J622" s="5"/>
    </row>
    <row r="623" spans="1:239" customHeight="1" ht="13.2">
      <c r="G623" s="5"/>
      <c r="H623" s="5"/>
      <c r="I623" s="5"/>
      <c r="J623" s="5"/>
    </row>
    <row r="624" spans="1:239" customHeight="1" ht="13.2">
      <c r="G624" s="5"/>
      <c r="H624" s="5"/>
      <c r="I624" s="5"/>
      <c r="J624" s="5"/>
    </row>
    <row r="625" spans="1:239" customHeight="1" ht="13.2">
      <c r="G625" s="5"/>
      <c r="H625" s="5"/>
      <c r="I625" s="5"/>
      <c r="J625" s="5"/>
    </row>
    <row r="626" spans="1:239" customHeight="1" ht="13.2">
      <c r="G626" s="5"/>
      <c r="H626" s="5"/>
      <c r="I626" s="5"/>
      <c r="J626" s="5"/>
    </row>
    <row r="627" spans="1:239" customHeight="1" ht="13.2">
      <c r="G627" s="5"/>
      <c r="H627" s="5"/>
      <c r="I627" s="5"/>
      <c r="J627" s="5"/>
    </row>
    <row r="628" spans="1:239" customHeight="1" ht="13.2">
      <c r="G628" s="5"/>
      <c r="H628" s="5"/>
      <c r="I628" s="5"/>
      <c r="J628" s="5"/>
    </row>
    <row r="629" spans="1:239" customHeight="1" ht="13.2">
      <c r="G629" s="5"/>
      <c r="H629" s="5"/>
      <c r="I629" s="5"/>
      <c r="J629" s="5"/>
    </row>
    <row r="630" spans="1:239" customHeight="1" ht="13.2">
      <c r="G630" s="5"/>
      <c r="H630" s="5"/>
      <c r="I630" s="5"/>
      <c r="J630" s="5"/>
    </row>
    <row r="631" spans="1:239" customHeight="1" ht="13.2">
      <c r="G631" s="5"/>
      <c r="H631" s="5"/>
      <c r="I631" s="5"/>
      <c r="J631" s="5"/>
    </row>
    <row r="632" spans="1:239" customHeight="1" ht="13.2">
      <c r="G632" s="5"/>
      <c r="H632" s="5"/>
      <c r="I632" s="5"/>
      <c r="J632" s="5"/>
    </row>
    <row r="633" spans="1:239" customHeight="1" ht="13.2">
      <c r="G633" s="5"/>
      <c r="H633" s="5"/>
      <c r="I633" s="5"/>
      <c r="J633" s="5"/>
    </row>
    <row r="634" spans="1:239" customHeight="1" ht="13.2">
      <c r="G634" s="5"/>
      <c r="H634" s="5"/>
      <c r="I634" s="5"/>
      <c r="J634" s="5"/>
    </row>
    <row r="635" spans="1:239" customHeight="1" ht="13.2">
      <c r="G635" s="5"/>
      <c r="H635" s="5"/>
      <c r="I635" s="5"/>
      <c r="J635" s="5"/>
    </row>
    <row r="636" spans="1:239" customHeight="1" ht="13.2">
      <c r="G636" s="5"/>
      <c r="H636" s="5"/>
      <c r="I636" s="5"/>
      <c r="J636" s="5"/>
    </row>
    <row r="637" spans="1:239" customHeight="1" ht="13.2">
      <c r="G637" s="5"/>
      <c r="H637" s="5"/>
      <c r="I637" s="5"/>
      <c r="J637" s="5"/>
    </row>
    <row r="638" spans="1:239" customHeight="1" ht="13.2">
      <c r="G638" s="5"/>
      <c r="H638" s="5"/>
      <c r="I638" s="5"/>
      <c r="J638" s="5"/>
    </row>
    <row r="639" spans="1:239" customHeight="1" ht="13.2">
      <c r="G639" s="5"/>
      <c r="H639" s="5"/>
      <c r="I639" s="5"/>
      <c r="J639" s="5"/>
    </row>
    <row r="640" spans="1:239" customHeight="1" ht="13.2">
      <c r="G640" s="5"/>
      <c r="H640" s="5"/>
      <c r="I640" s="5"/>
      <c r="J640" s="5"/>
    </row>
    <row r="641" spans="1:239" customHeight="1" ht="13.2">
      <c r="G641" s="5"/>
      <c r="H641" s="5"/>
      <c r="I641" s="5"/>
      <c r="J641" s="5"/>
    </row>
    <row r="642" spans="1:239" customHeight="1" ht="13.2">
      <c r="G642" s="5"/>
      <c r="H642" s="5"/>
      <c r="I642" s="5"/>
      <c r="J642" s="5"/>
    </row>
    <row r="643" spans="1:239" customHeight="1" ht="13.2">
      <c r="G643" s="5"/>
      <c r="H643" s="5"/>
      <c r="I643" s="5"/>
      <c r="J643" s="5"/>
    </row>
    <row r="644" spans="1:239" customHeight="1" ht="13.2">
      <c r="G644" s="5"/>
      <c r="H644" s="5"/>
      <c r="I644" s="5"/>
      <c r="J644" s="5"/>
    </row>
    <row r="645" spans="1:239" customHeight="1" ht="13.2">
      <c r="G645" s="5"/>
      <c r="H645" s="5"/>
      <c r="I645" s="5"/>
      <c r="J645" s="5"/>
    </row>
    <row r="646" spans="1:239" customHeight="1" ht="13.2">
      <c r="G646" s="5"/>
      <c r="H646" s="5"/>
      <c r="I646" s="5"/>
      <c r="J646" s="5"/>
    </row>
    <row r="647" spans="1:239" customHeight="1" ht="13.2">
      <c r="G647" s="5"/>
      <c r="H647" s="5"/>
      <c r="I647" s="5"/>
      <c r="J647" s="5"/>
    </row>
    <row r="648" spans="1:239" customHeight="1" ht="13.2">
      <c r="G648" s="5"/>
      <c r="H648" s="5"/>
      <c r="I648" s="5"/>
      <c r="J648" s="5"/>
    </row>
    <row r="649" spans="1:239" customHeight="1" ht="13.2">
      <c r="G649" s="5"/>
      <c r="H649" s="5"/>
      <c r="I649" s="5"/>
      <c r="J649" s="5"/>
    </row>
    <row r="650" spans="1:239" customHeight="1" ht="13.2">
      <c r="G650" s="5"/>
      <c r="H650" s="5"/>
      <c r="I650" s="5"/>
      <c r="J650" s="5"/>
    </row>
    <row r="651" spans="1:239" customHeight="1" ht="13.2">
      <c r="G651" s="5"/>
      <c r="H651" s="5"/>
      <c r="I651" s="5"/>
      <c r="J651" s="5"/>
    </row>
    <row r="652" spans="1:239" customHeight="1" ht="13.2">
      <c r="G652" s="5"/>
      <c r="H652" s="5"/>
      <c r="I652" s="5"/>
      <c r="J652" s="5"/>
    </row>
    <row r="653" spans="1:239" customHeight="1" ht="13.2">
      <c r="G653" s="5"/>
      <c r="H653" s="5"/>
      <c r="I653" s="5"/>
      <c r="J653" s="5"/>
    </row>
    <row r="654" spans="1:239" customHeight="1" ht="13.2">
      <c r="G654" s="5"/>
      <c r="H654" s="5"/>
      <c r="I654" s="5"/>
      <c r="J654" s="5"/>
    </row>
    <row r="655" spans="1:239" customHeight="1" ht="13.2">
      <c r="G655" s="5"/>
      <c r="H655" s="5"/>
      <c r="I655" s="5"/>
      <c r="J655" s="5"/>
    </row>
    <row r="656" spans="1:239" customHeight="1" ht="13.2">
      <c r="G656" s="5"/>
      <c r="H656" s="5"/>
      <c r="I656" s="5"/>
      <c r="J656" s="5"/>
    </row>
    <row r="657" spans="1:239" customHeight="1" ht="13.2">
      <c r="G657" s="5"/>
      <c r="H657" s="5"/>
      <c r="I657" s="5"/>
      <c r="J657" s="5"/>
    </row>
    <row r="658" spans="1:239" customHeight="1" ht="13.2">
      <c r="G658" s="5"/>
      <c r="H658" s="5"/>
      <c r="I658" s="5"/>
      <c r="J658" s="5"/>
    </row>
    <row r="659" spans="1:239" customHeight="1" ht="13.2">
      <c r="G659" s="5"/>
      <c r="H659" s="5"/>
      <c r="I659" s="5"/>
      <c r="J659" s="5"/>
    </row>
    <row r="660" spans="1:239" customHeight="1" ht="13.2">
      <c r="G660" s="5"/>
      <c r="H660" s="5"/>
      <c r="I660" s="5"/>
      <c r="J660" s="5"/>
    </row>
    <row r="661" spans="1:239" customHeight="1" ht="13.2">
      <c r="G661" s="5"/>
      <c r="H661" s="5"/>
      <c r="I661" s="5"/>
      <c r="J661" s="5"/>
    </row>
    <row r="662" spans="1:239" customHeight="1" ht="13.2">
      <c r="G662" s="5"/>
      <c r="H662" s="5"/>
      <c r="I662" s="5"/>
      <c r="J662" s="5"/>
    </row>
    <row r="663" spans="1:239" customHeight="1" ht="13.2">
      <c r="G663" s="5"/>
      <c r="H663" s="5"/>
      <c r="I663" s="5"/>
      <c r="J663" s="5"/>
    </row>
    <row r="664" spans="1:239" customHeight="1" ht="13.2">
      <c r="G664" s="5"/>
      <c r="H664" s="5"/>
      <c r="I664" s="5"/>
      <c r="J664" s="5"/>
    </row>
    <row r="665" spans="1:239" customHeight="1" ht="13.2">
      <c r="G665" s="5"/>
      <c r="H665" s="5"/>
      <c r="I665" s="5"/>
      <c r="J665" s="5"/>
    </row>
    <row r="666" spans="1:239" customHeight="1" ht="13.2">
      <c r="G666" s="5"/>
      <c r="H666" s="5"/>
      <c r="I666" s="5"/>
      <c r="J666" s="5"/>
    </row>
    <row r="667" spans="1:239" customHeight="1" ht="13.2">
      <c r="G667" s="5"/>
      <c r="H667" s="5"/>
      <c r="I667" s="5"/>
      <c r="J667" s="5"/>
    </row>
    <row r="668" spans="1:239" customHeight="1" ht="13.2">
      <c r="G668" s="5"/>
      <c r="H668" s="5"/>
      <c r="I668" s="5"/>
      <c r="J668" s="5"/>
    </row>
    <row r="669" spans="1:239" customHeight="1" ht="13.2">
      <c r="G669" s="5"/>
      <c r="H669" s="5"/>
      <c r="I669" s="5"/>
      <c r="J669" s="5"/>
    </row>
    <row r="670" spans="1:239" customHeight="1" ht="13.2">
      <c r="G670" s="5"/>
      <c r="H670" s="5"/>
      <c r="I670" s="5"/>
      <c r="J670" s="5"/>
    </row>
    <row r="671" spans="1:239" customHeight="1" ht="13.2">
      <c r="G671" s="5"/>
      <c r="H671" s="5"/>
      <c r="I671" s="5"/>
      <c r="J671" s="5"/>
    </row>
    <row r="672" spans="1:239" customHeight="1" ht="13.2">
      <c r="G672" s="5"/>
      <c r="H672" s="5"/>
      <c r="I672" s="5"/>
      <c r="J672" s="5"/>
    </row>
    <row r="673" spans="1:239" customHeight="1" ht="13.2">
      <c r="G673" s="5"/>
      <c r="H673" s="5"/>
      <c r="I673" s="5"/>
      <c r="J673" s="5"/>
    </row>
    <row r="674" spans="1:239" customHeight="1" ht="13.2">
      <c r="G674" s="5"/>
      <c r="H674" s="5"/>
      <c r="I674" s="5"/>
      <c r="J674" s="5"/>
    </row>
    <row r="675" spans="1:239" customHeight="1" ht="13.2">
      <c r="G675" s="5"/>
      <c r="H675" s="5"/>
      <c r="I675" s="5"/>
      <c r="J675" s="5"/>
    </row>
    <row r="676" spans="1:239" customHeight="1" ht="13.2">
      <c r="G676" s="5"/>
      <c r="H676" s="5"/>
      <c r="I676" s="5"/>
      <c r="J676" s="5"/>
    </row>
    <row r="677" spans="1:239" customHeight="1" ht="13.2">
      <c r="G677" s="5"/>
      <c r="H677" s="5"/>
      <c r="I677" s="5"/>
      <c r="J677" s="5"/>
    </row>
    <row r="678" spans="1:239" customHeight="1" ht="13.2">
      <c r="G678" s="5"/>
      <c r="H678" s="5"/>
      <c r="I678" s="5"/>
      <c r="J678" s="5"/>
    </row>
    <row r="679" spans="1:239" customHeight="1" ht="13.2">
      <c r="G679" s="5"/>
      <c r="H679" s="5"/>
      <c r="I679" s="5"/>
      <c r="J679" s="5"/>
    </row>
    <row r="680" spans="1:239" customHeight="1" ht="13.2">
      <c r="G680" s="5"/>
      <c r="H680" s="5"/>
      <c r="I680" s="5"/>
      <c r="J680" s="5"/>
    </row>
    <row r="681" spans="1:239" customHeight="1" ht="13.2">
      <c r="G681" s="5"/>
      <c r="H681" s="5"/>
      <c r="I681" s="5"/>
      <c r="J681" s="5"/>
    </row>
    <row r="682" spans="1:239" customHeight="1" ht="13.2">
      <c r="G682" s="5"/>
      <c r="H682" s="5"/>
      <c r="I682" s="5"/>
      <c r="J682" s="5"/>
    </row>
    <row r="683" spans="1:239" customHeight="1" ht="13.2">
      <c r="G683" s="5"/>
      <c r="H683" s="5"/>
      <c r="I683" s="5"/>
      <c r="J683" s="5"/>
    </row>
    <row r="684" spans="1:239" customHeight="1" ht="13.2">
      <c r="G684" s="5"/>
      <c r="H684" s="5"/>
      <c r="I684" s="5"/>
      <c r="J684" s="5"/>
    </row>
    <row r="685" spans="1:239" customHeight="1" ht="13.2">
      <c r="G685" s="5"/>
      <c r="H685" s="5"/>
      <c r="I685" s="5"/>
      <c r="J685" s="5"/>
    </row>
    <row r="686" spans="1:239" customHeight="1" ht="13.2">
      <c r="G686" s="5"/>
      <c r="H686" s="5"/>
      <c r="I686" s="5"/>
      <c r="J686" s="5"/>
    </row>
    <row r="687" spans="1:239" customHeight="1" ht="13.2">
      <c r="G687" s="5"/>
      <c r="H687" s="5"/>
      <c r="I687" s="5"/>
      <c r="J687" s="5"/>
    </row>
    <row r="688" spans="1:239" customHeight="1" ht="13.2">
      <c r="G688" s="5"/>
      <c r="H688" s="5"/>
      <c r="I688" s="5"/>
      <c r="J688" s="5"/>
    </row>
    <row r="689" spans="1:239" customHeight="1" ht="13.2">
      <c r="G689" s="5"/>
      <c r="H689" s="5"/>
      <c r="I689" s="5"/>
      <c r="J689" s="5"/>
    </row>
    <row r="690" spans="1:239" customHeight="1" ht="13.2">
      <c r="G690" s="5"/>
      <c r="H690" s="5"/>
      <c r="I690" s="5"/>
      <c r="J690" s="5"/>
    </row>
    <row r="691" spans="1:239" customHeight="1" ht="13.2">
      <c r="G691" s="5"/>
      <c r="H691" s="5"/>
      <c r="I691" s="5"/>
      <c r="J691" s="5"/>
    </row>
    <row r="692" spans="1:239" customHeight="1" ht="13.2">
      <c r="G692" s="5"/>
      <c r="H692" s="5"/>
      <c r="I692" s="5"/>
      <c r="J692" s="5"/>
    </row>
    <row r="693" spans="1:239" customHeight="1" ht="13.2">
      <c r="G693" s="5"/>
      <c r="H693" s="5"/>
      <c r="I693" s="5"/>
      <c r="J693" s="5"/>
    </row>
    <row r="694" spans="1:239" customHeight="1" ht="13.2">
      <c r="G694" s="5"/>
      <c r="H694" s="5"/>
      <c r="I694" s="5"/>
      <c r="J694" s="5"/>
    </row>
    <row r="695" spans="1:239" customHeight="1" ht="13.2">
      <c r="G695" s="5"/>
      <c r="H695" s="5"/>
      <c r="I695" s="5"/>
      <c r="J695" s="5"/>
    </row>
    <row r="696" spans="1:239" customHeight="1" ht="13.2">
      <c r="G696" s="5"/>
      <c r="H696" s="5"/>
      <c r="I696" s="5"/>
      <c r="J696" s="5"/>
    </row>
    <row r="697" spans="1:239" customHeight="1" ht="13.2">
      <c r="G697" s="5"/>
      <c r="H697" s="5"/>
      <c r="I697" s="5"/>
      <c r="J697" s="5"/>
    </row>
    <row r="698" spans="1:239" customHeight="1" ht="13.2">
      <c r="G698" s="5"/>
      <c r="H698" s="5"/>
      <c r="I698" s="5"/>
      <c r="J698" s="5"/>
    </row>
    <row r="699" spans="1:239" customHeight="1" ht="13.2">
      <c r="G699" s="5"/>
      <c r="H699" s="5"/>
      <c r="I699" s="5"/>
      <c r="J699" s="5"/>
    </row>
    <row r="700" spans="1:239" customHeight="1" ht="13.2">
      <c r="G700" s="5"/>
      <c r="H700" s="5"/>
      <c r="I700" s="5"/>
      <c r="J700" s="5"/>
    </row>
    <row r="701" spans="1:239" customHeight="1" ht="13.2">
      <c r="G701" s="5"/>
      <c r="H701" s="5"/>
      <c r="I701" s="5"/>
      <c r="J701" s="5"/>
    </row>
    <row r="702" spans="1:239" customHeight="1" ht="13.2">
      <c r="G702" s="5"/>
      <c r="H702" s="5"/>
      <c r="I702" s="5"/>
      <c r="J702" s="5"/>
    </row>
    <row r="703" spans="1:239" customHeight="1" ht="13.2">
      <c r="G703" s="5"/>
      <c r="H703" s="5"/>
      <c r="I703" s="5"/>
      <c r="J703" s="5"/>
    </row>
    <row r="704" spans="1:239" customHeight="1" ht="13.2">
      <c r="G704" s="5"/>
      <c r="H704" s="5"/>
      <c r="I704" s="5"/>
      <c r="J704" s="5"/>
    </row>
    <row r="705" spans="1:239" customHeight="1" ht="13.2">
      <c r="G705" s="5"/>
      <c r="H705" s="5"/>
      <c r="I705" s="5"/>
      <c r="J705" s="5"/>
    </row>
    <row r="706" spans="1:239" customHeight="1" ht="13.2">
      <c r="G706" s="5"/>
      <c r="H706" s="5"/>
      <c r="I706" s="5"/>
      <c r="J706" s="5"/>
    </row>
    <row r="707" spans="1:239" customHeight="1" ht="13.2">
      <c r="G707" s="5"/>
      <c r="H707" s="5"/>
      <c r="I707" s="5"/>
      <c r="J707" s="5"/>
    </row>
    <row r="708" spans="1:239" customHeight="1" ht="13.2">
      <c r="G708" s="5"/>
      <c r="H708" s="5"/>
      <c r="I708" s="5"/>
      <c r="J708" s="5"/>
    </row>
    <row r="709" spans="1:239" customHeight="1" ht="13.2">
      <c r="G709" s="5"/>
      <c r="H709" s="5"/>
      <c r="I709" s="5"/>
      <c r="J709" s="5"/>
    </row>
    <row r="710" spans="1:239" customHeight="1" ht="13.2">
      <c r="G710" s="5"/>
      <c r="H710" s="5"/>
      <c r="I710" s="5"/>
      <c r="J710" s="5"/>
    </row>
    <row r="711" spans="1:239" customHeight="1" ht="13.2">
      <c r="G711" s="5"/>
      <c r="H711" s="5"/>
      <c r="I711" s="5"/>
      <c r="J711" s="5"/>
    </row>
    <row r="712" spans="1:239" customHeight="1" ht="13.2">
      <c r="G712" s="5"/>
      <c r="H712" s="5"/>
      <c r="I712" s="5"/>
      <c r="J712" s="5"/>
    </row>
    <row r="713" spans="1:239" customHeight="1" ht="13.2">
      <c r="G713" s="5"/>
      <c r="H713" s="5"/>
      <c r="I713" s="5"/>
      <c r="J713" s="5"/>
    </row>
    <row r="714" spans="1:239" customHeight="1" ht="13.2">
      <c r="G714" s="5"/>
      <c r="H714" s="5"/>
      <c r="I714" s="5"/>
      <c r="J714" s="5"/>
    </row>
    <row r="715" spans="1:239" customHeight="1" ht="13.2">
      <c r="G715" s="5"/>
      <c r="H715" s="5"/>
      <c r="I715" s="5"/>
      <c r="J715" s="5"/>
    </row>
    <row r="716" spans="1:239" customHeight="1" ht="13.2">
      <c r="G716" s="5"/>
      <c r="H716" s="5"/>
      <c r="I716" s="5"/>
      <c r="J716" s="5"/>
    </row>
    <row r="717" spans="1:239" customHeight="1" ht="13.2">
      <c r="G717" s="5"/>
      <c r="H717" s="5"/>
      <c r="I717" s="5"/>
      <c r="J717" s="5"/>
    </row>
    <row r="718" spans="1:239" customHeight="1" ht="13.2">
      <c r="G718" s="5"/>
      <c r="H718" s="5"/>
      <c r="I718" s="5"/>
      <c r="J718" s="5"/>
    </row>
    <row r="719" spans="1:239" customHeight="1" ht="13.2">
      <c r="G719" s="5"/>
      <c r="H719" s="5"/>
      <c r="I719" s="5"/>
      <c r="J719" s="5"/>
    </row>
    <row r="720" spans="1:239" customHeight="1" ht="13.2">
      <c r="G720" s="5"/>
      <c r="H720" s="5"/>
      <c r="I720" s="5"/>
      <c r="J720" s="5"/>
    </row>
    <row r="721" spans="1:239" customHeight="1" ht="13.2">
      <c r="G721" s="5"/>
      <c r="H721" s="5"/>
      <c r="I721" s="5"/>
      <c r="J721" s="5"/>
    </row>
    <row r="722" spans="1:239" customHeight="1" ht="13.2">
      <c r="G722" s="5"/>
      <c r="H722" s="5"/>
      <c r="I722" s="5"/>
      <c r="J722" s="5"/>
    </row>
    <row r="723" spans="1:239" customHeight="1" ht="13.2">
      <c r="G723" s="5"/>
      <c r="H723" s="5"/>
      <c r="I723" s="5"/>
      <c r="J723" s="5"/>
    </row>
    <row r="724" spans="1:239" customHeight="1" ht="13.2">
      <c r="G724" s="5"/>
      <c r="H724" s="5"/>
      <c r="I724" s="5"/>
      <c r="J724" s="5"/>
    </row>
    <row r="725" spans="1:239" customHeight="1" ht="13.2">
      <c r="G725" s="5"/>
      <c r="H725" s="5"/>
      <c r="I725" s="5"/>
      <c r="J725" s="5"/>
    </row>
    <row r="726" spans="1:239" customHeight="1" ht="13.2">
      <c r="G726" s="5"/>
      <c r="H726" s="5"/>
      <c r="I726" s="5"/>
      <c r="J726" s="5"/>
    </row>
    <row r="727" spans="1:239" customHeight="1" ht="13.2">
      <c r="G727" s="5"/>
      <c r="H727" s="5"/>
      <c r="I727" s="5"/>
      <c r="J727" s="5"/>
    </row>
    <row r="728" spans="1:239" customHeight="1" ht="13.2">
      <c r="G728" s="5"/>
      <c r="H728" s="5"/>
      <c r="I728" s="5"/>
      <c r="J728" s="5"/>
    </row>
    <row r="729" spans="1:239" customHeight="1" ht="13.2">
      <c r="G729" s="5"/>
      <c r="H729" s="5"/>
      <c r="I729" s="5"/>
      <c r="J729" s="5"/>
    </row>
    <row r="730" spans="1:239" customHeight="1" ht="13.2">
      <c r="G730" s="5"/>
      <c r="H730" s="5"/>
      <c r="I730" s="5"/>
      <c r="J730" s="5"/>
    </row>
    <row r="731" spans="1:239" customHeight="1" ht="13.2">
      <c r="G731" s="5"/>
      <c r="H731" s="5"/>
      <c r="I731" s="5"/>
      <c r="J731" s="5"/>
    </row>
    <row r="732" spans="1:239" customHeight="1" ht="13.2">
      <c r="G732" s="5"/>
      <c r="H732" s="5"/>
      <c r="I732" s="5"/>
      <c r="J732" s="5"/>
    </row>
    <row r="733" spans="1:239" customHeight="1" ht="13.2">
      <c r="G733" s="5"/>
      <c r="H733" s="5"/>
      <c r="I733" s="5"/>
      <c r="J733" s="5"/>
    </row>
    <row r="734" spans="1:239" customHeight="1" ht="13.2">
      <c r="G734" s="5"/>
      <c r="H734" s="5"/>
      <c r="I734" s="5"/>
      <c r="J734" s="5"/>
    </row>
    <row r="735" spans="1:239" customHeight="1" ht="13.2">
      <c r="G735" s="5"/>
      <c r="H735" s="5"/>
      <c r="I735" s="5"/>
      <c r="J735" s="5"/>
    </row>
    <row r="736" spans="1:239" customHeight="1" ht="13.2">
      <c r="G736" s="5"/>
      <c r="H736" s="5"/>
      <c r="I736" s="5"/>
      <c r="J736" s="5"/>
    </row>
    <row r="737" spans="1:239" customHeight="1" ht="13.2">
      <c r="G737" s="5"/>
      <c r="H737" s="5"/>
      <c r="I737" s="5"/>
      <c r="J737" s="5"/>
    </row>
    <row r="738" spans="1:239" customHeight="1" ht="13.2">
      <c r="G738" s="5"/>
      <c r="H738" s="5"/>
      <c r="I738" s="5"/>
      <c r="J738" s="5"/>
    </row>
    <row r="739" spans="1:239" customHeight="1" ht="13.2">
      <c r="G739" s="5"/>
      <c r="H739" s="5"/>
      <c r="I739" s="5"/>
      <c r="J739" s="5"/>
    </row>
    <row r="740" spans="1:239" customHeight="1" ht="13.2">
      <c r="G740" s="5"/>
      <c r="H740" s="5"/>
      <c r="I740" s="5"/>
      <c r="J740" s="5"/>
    </row>
    <row r="741" spans="1:239" customHeight="1" ht="13.2">
      <c r="G741" s="5"/>
      <c r="H741" s="5"/>
      <c r="I741" s="5"/>
      <c r="J741" s="5"/>
    </row>
    <row r="742" spans="1:239" customHeight="1" ht="13.2">
      <c r="G742" s="5"/>
      <c r="H742" s="5"/>
      <c r="I742" s="5"/>
      <c r="J742" s="5"/>
    </row>
    <row r="743" spans="1:239" customHeight="1" ht="13.2">
      <c r="G743" s="5"/>
      <c r="H743" s="5"/>
      <c r="I743" s="5"/>
      <c r="J743" s="5"/>
    </row>
    <row r="744" spans="1:239" customHeight="1" ht="13.2">
      <c r="G744" s="5"/>
      <c r="H744" s="5"/>
      <c r="I744" s="5"/>
      <c r="J744" s="5"/>
    </row>
    <row r="745" spans="1:239" customHeight="1" ht="13.2">
      <c r="G745" s="5"/>
      <c r="H745" s="5"/>
      <c r="I745" s="5"/>
      <c r="J745" s="5"/>
    </row>
    <row r="746" spans="1:239" customHeight="1" ht="13.2">
      <c r="G746" s="5"/>
      <c r="H746" s="5"/>
      <c r="I746" s="5"/>
      <c r="J746" s="5"/>
    </row>
    <row r="747" spans="1:239" customHeight="1" ht="13.2">
      <c r="G747" s="5"/>
      <c r="H747" s="5"/>
      <c r="I747" s="5"/>
      <c r="J747" s="5"/>
    </row>
    <row r="748" spans="1:239" customHeight="1" ht="13.2">
      <c r="G748" s="5"/>
      <c r="H748" s="5"/>
      <c r="I748" s="5"/>
      <c r="J748" s="5"/>
    </row>
    <row r="749" spans="1:239" customHeight="1" ht="13.2">
      <c r="G749" s="5"/>
      <c r="H749" s="5"/>
      <c r="I749" s="5"/>
      <c r="J749" s="5"/>
    </row>
    <row r="750" spans="1:239" customHeight="1" ht="13.2">
      <c r="G750" s="5"/>
      <c r="H750" s="5"/>
      <c r="I750" s="5"/>
      <c r="J750" s="5"/>
    </row>
    <row r="751" spans="1:239" customHeight="1" ht="13.2">
      <c r="G751" s="5"/>
      <c r="H751" s="5"/>
      <c r="I751" s="5"/>
      <c r="J751" s="5"/>
    </row>
    <row r="752" spans="1:239" customHeight="1" ht="13.2">
      <c r="G752" s="5"/>
      <c r="H752" s="5"/>
      <c r="I752" s="5"/>
      <c r="J752" s="5"/>
    </row>
    <row r="753" spans="1:239" customHeight="1" ht="13.2">
      <c r="G753" s="5"/>
      <c r="H753" s="5"/>
      <c r="I753" s="5"/>
      <c r="J753" s="5"/>
    </row>
    <row r="754" spans="1:239" customHeight="1" ht="13.2">
      <c r="G754" s="5"/>
      <c r="H754" s="5"/>
      <c r="I754" s="5"/>
      <c r="J754" s="5"/>
    </row>
    <row r="755" spans="1:239" customHeight="1" ht="13.2">
      <c r="G755" s="5"/>
      <c r="H755" s="5"/>
      <c r="I755" s="5"/>
      <c r="J755" s="5"/>
    </row>
    <row r="756" spans="1:239" customHeight="1" ht="13.2">
      <c r="G756" s="5"/>
      <c r="H756" s="5"/>
      <c r="I756" s="5"/>
      <c r="J756" s="5"/>
    </row>
    <row r="757" spans="1:239" customHeight="1" ht="13.2">
      <c r="G757" s="5"/>
      <c r="H757" s="5"/>
      <c r="I757" s="5"/>
      <c r="J757" s="5"/>
    </row>
    <row r="758" spans="1:239" customHeight="1" ht="13.2">
      <c r="G758" s="5"/>
      <c r="H758" s="5"/>
      <c r="I758" s="5"/>
      <c r="J758" s="5"/>
    </row>
    <row r="759" spans="1:239" customHeight="1" ht="13.2">
      <c r="G759" s="5"/>
      <c r="H759" s="5"/>
      <c r="I759" s="5"/>
      <c r="J759" s="5"/>
    </row>
    <row r="760" spans="1:239" customHeight="1" ht="13.2">
      <c r="G760" s="5"/>
      <c r="H760" s="5"/>
      <c r="I760" s="5"/>
      <c r="J760" s="5"/>
    </row>
    <row r="761" spans="1:239" customHeight="1" ht="13.2">
      <c r="G761" s="5"/>
      <c r="H761" s="5"/>
      <c r="I761" s="5"/>
      <c r="J761" s="5"/>
    </row>
    <row r="762" spans="1:239" customHeight="1" ht="13.2">
      <c r="G762" s="5"/>
      <c r="H762" s="5"/>
      <c r="I762" s="5"/>
      <c r="J762" s="5"/>
    </row>
    <row r="763" spans="1:239" customHeight="1" ht="13.2">
      <c r="G763" s="5"/>
      <c r="H763" s="5"/>
      <c r="I763" s="5"/>
      <c r="J763" s="5"/>
    </row>
    <row r="764" spans="1:239" customHeight="1" ht="13.2">
      <c r="G764" s="5"/>
      <c r="H764" s="5"/>
      <c r="I764" s="5"/>
      <c r="J764" s="5"/>
    </row>
    <row r="765" spans="1:239" customHeight="1" ht="13.2">
      <c r="G765" s="5"/>
      <c r="H765" s="5"/>
      <c r="I765" s="5"/>
      <c r="J765" s="5"/>
    </row>
    <row r="766" spans="1:239" customHeight="1" ht="13.2">
      <c r="G766" s="5"/>
      <c r="H766" s="5"/>
      <c r="I766" s="5"/>
      <c r="J766" s="5"/>
    </row>
    <row r="767" spans="1:239" customHeight="1" ht="13.2">
      <c r="G767" s="5"/>
      <c r="H767" s="5"/>
      <c r="I767" s="5"/>
      <c r="J767" s="5"/>
    </row>
    <row r="768" spans="1:239" customHeight="1" ht="13.2">
      <c r="G768" s="5"/>
      <c r="H768" s="5"/>
      <c r="I768" s="5"/>
      <c r="J768" s="5"/>
    </row>
    <row r="769" spans="1:239" customHeight="1" ht="13.2">
      <c r="G769" s="5"/>
      <c r="H769" s="5"/>
      <c r="I769" s="5"/>
      <c r="J769" s="5"/>
    </row>
    <row r="770" spans="1:239" customHeight="1" ht="13.2">
      <c r="G770" s="5"/>
      <c r="H770" s="5"/>
      <c r="I770" s="5"/>
      <c r="J770" s="5"/>
    </row>
    <row r="771" spans="1:239" customHeight="1" ht="13.2">
      <c r="G771" s="5"/>
      <c r="H771" s="5"/>
      <c r="I771" s="5"/>
      <c r="J771" s="5"/>
    </row>
    <row r="772" spans="1:239" customHeight="1" ht="13.2">
      <c r="G772" s="5"/>
      <c r="H772" s="5"/>
      <c r="I772" s="5"/>
      <c r="J772" s="5"/>
    </row>
    <row r="773" spans="1:239" customHeight="1" ht="13.2">
      <c r="G773" s="5"/>
      <c r="H773" s="5"/>
      <c r="I773" s="5"/>
      <c r="J773" s="5"/>
    </row>
    <row r="774" spans="1:239" customHeight="1" ht="13.2">
      <c r="G774" s="5"/>
      <c r="H774" s="5"/>
      <c r="I774" s="5"/>
      <c r="J774" s="5"/>
    </row>
    <row r="775" spans="1:239" customHeight="1" ht="13.2">
      <c r="G775" s="5"/>
      <c r="H775" s="5"/>
      <c r="I775" s="5"/>
      <c r="J775" s="5"/>
    </row>
    <row r="776" spans="1:239" customHeight="1" ht="13.2">
      <c r="G776" s="5"/>
      <c r="H776" s="5"/>
      <c r="I776" s="5"/>
      <c r="J776" s="5"/>
    </row>
    <row r="777" spans="1:239" customHeight="1" ht="13.2">
      <c r="G777" s="5"/>
      <c r="H777" s="5"/>
      <c r="I777" s="5"/>
      <c r="J777" s="5"/>
    </row>
    <row r="778" spans="1:239" customHeight="1" ht="13.2">
      <c r="G778" s="5"/>
      <c r="H778" s="5"/>
      <c r="I778" s="5"/>
      <c r="J778" s="5"/>
    </row>
    <row r="779" spans="1:239" customHeight="1" ht="13.2">
      <c r="G779" s="5"/>
      <c r="H779" s="5"/>
      <c r="I779" s="5"/>
      <c r="J779" s="5"/>
    </row>
    <row r="780" spans="1:239" customHeight="1" ht="13.2">
      <c r="G780" s="5"/>
      <c r="H780" s="5"/>
      <c r="I780" s="5"/>
      <c r="J780" s="5"/>
    </row>
    <row r="781" spans="1:239" customHeight="1" ht="13.2">
      <c r="G781" s="5"/>
      <c r="H781" s="5"/>
      <c r="I781" s="5"/>
      <c r="J781" s="5"/>
    </row>
    <row r="782" spans="1:239" customHeight="1" ht="13.2">
      <c r="G782" s="5"/>
      <c r="H782" s="5"/>
      <c r="I782" s="5"/>
      <c r="J782" s="5"/>
    </row>
    <row r="783" spans="1:239" customHeight="1" ht="13.2">
      <c r="G783" s="5"/>
      <c r="H783" s="5"/>
      <c r="I783" s="5"/>
      <c r="J783" s="5"/>
    </row>
    <row r="784" spans="1:239" customHeight="1" ht="13.2">
      <c r="G784" s="5"/>
      <c r="H784" s="5"/>
      <c r="I784" s="5"/>
      <c r="J784" s="5"/>
    </row>
    <row r="785" spans="1:239" customHeight="1" ht="13.2">
      <c r="G785" s="5"/>
      <c r="H785" s="5"/>
      <c r="I785" s="5"/>
      <c r="J785" s="5"/>
    </row>
    <row r="786" spans="1:239" customHeight="1" ht="13.2">
      <c r="G786" s="5"/>
      <c r="H786" s="5"/>
      <c r="I786" s="5"/>
      <c r="J786" s="5"/>
    </row>
    <row r="787" spans="1:239" customHeight="1" ht="13.2">
      <c r="G787" s="5"/>
      <c r="H787" s="5"/>
      <c r="I787" s="5"/>
      <c r="J787" s="5"/>
    </row>
    <row r="788" spans="1:239" customHeight="1" ht="13.2">
      <c r="G788" s="5"/>
      <c r="H788" s="5"/>
      <c r="I788" s="5"/>
      <c r="J788" s="5"/>
    </row>
    <row r="789" spans="1:239" customHeight="1" ht="13.2">
      <c r="G789" s="5"/>
      <c r="H789" s="5"/>
      <c r="I789" s="5"/>
      <c r="J789" s="5"/>
    </row>
    <row r="790" spans="1:239" customHeight="1" ht="13.2">
      <c r="G790" s="5"/>
      <c r="H790" s="5"/>
      <c r="I790" s="5"/>
      <c r="J790" s="5"/>
    </row>
    <row r="791" spans="1:239" customHeight="1" ht="13.2">
      <c r="G791" s="5"/>
      <c r="H791" s="5"/>
      <c r="I791" s="5"/>
      <c r="J791" s="5"/>
    </row>
    <row r="792" spans="1:239" customHeight="1" ht="13.2">
      <c r="G792" s="5"/>
      <c r="H792" s="5"/>
      <c r="I792" s="5"/>
      <c r="J792" s="5"/>
    </row>
    <row r="793" spans="1:239" customHeight="1" ht="13.2">
      <c r="G793" s="5"/>
      <c r="H793" s="5"/>
      <c r="I793" s="5"/>
      <c r="J793" s="5"/>
    </row>
    <row r="794" spans="1:239" customHeight="1" ht="13.2">
      <c r="G794" s="5"/>
      <c r="H794" s="5"/>
      <c r="I794" s="5"/>
      <c r="J794" s="5"/>
    </row>
    <row r="795" spans="1:239" customHeight="1" ht="13.2">
      <c r="G795" s="5"/>
      <c r="H795" s="5"/>
      <c r="I795" s="5"/>
      <c r="J795" s="5"/>
    </row>
    <row r="796" spans="1:239" customHeight="1" ht="13.2">
      <c r="G796" s="5"/>
      <c r="H796" s="5"/>
      <c r="I796" s="5"/>
      <c r="J796" s="5"/>
    </row>
    <row r="797" spans="1:239" customHeight="1" ht="13.2">
      <c r="G797" s="5"/>
      <c r="H797" s="5"/>
      <c r="I797" s="5"/>
      <c r="J797" s="5"/>
    </row>
    <row r="798" spans="1:239" customHeight="1" ht="13.2">
      <c r="G798" s="5"/>
      <c r="H798" s="5"/>
      <c r="I798" s="5"/>
      <c r="J798" s="5"/>
    </row>
    <row r="799" spans="1:239" customHeight="1" ht="13.2">
      <c r="G799" s="5"/>
      <c r="H799" s="5"/>
      <c r="I799" s="5"/>
      <c r="J799" s="5"/>
    </row>
    <row r="800" spans="1:239" customHeight="1" ht="13.2">
      <c r="G800" s="5"/>
      <c r="H800" s="5"/>
      <c r="I800" s="5"/>
      <c r="J800" s="5"/>
    </row>
    <row r="801" spans="1:239" customHeight="1" ht="13.2">
      <c r="G801" s="5"/>
      <c r="H801" s="5"/>
      <c r="I801" s="5"/>
      <c r="J801" s="5"/>
    </row>
    <row r="802" spans="1:239" customHeight="1" ht="13.2">
      <c r="G802" s="5"/>
      <c r="H802" s="5"/>
      <c r="I802" s="5"/>
      <c r="J802" s="5"/>
    </row>
    <row r="803" spans="1:239" customHeight="1" ht="13.2">
      <c r="G803" s="5"/>
      <c r="H803" s="5"/>
      <c r="I803" s="5"/>
      <c r="J803" s="5"/>
    </row>
    <row r="804" spans="1:239" customHeight="1" ht="13.2">
      <c r="G804" s="5"/>
      <c r="H804" s="5"/>
      <c r="I804" s="5"/>
      <c r="J804" s="5"/>
    </row>
    <row r="805" spans="1:239" customHeight="1" ht="13.2">
      <c r="G805" s="5"/>
      <c r="H805" s="5"/>
      <c r="I805" s="5"/>
      <c r="J805" s="5"/>
    </row>
    <row r="806" spans="1:239" customHeight="1" ht="13.2">
      <c r="G806" s="5"/>
      <c r="H806" s="5"/>
      <c r="I806" s="5"/>
      <c r="J806" s="5"/>
    </row>
    <row r="807" spans="1:239" customHeight="1" ht="13.2">
      <c r="G807" s="5"/>
      <c r="H807" s="5"/>
      <c r="I807" s="5"/>
      <c r="J807" s="5"/>
    </row>
    <row r="808" spans="1:239" customHeight="1" ht="13.2">
      <c r="G808" s="5"/>
      <c r="H808" s="5"/>
      <c r="I808" s="5"/>
      <c r="J808" s="5"/>
    </row>
    <row r="809" spans="1:239" customHeight="1" ht="13.2">
      <c r="G809" s="5"/>
      <c r="H809" s="5"/>
      <c r="I809" s="5"/>
      <c r="J809" s="5"/>
    </row>
    <row r="810" spans="1:239" customHeight="1" ht="13.2">
      <c r="G810" s="5"/>
      <c r="H810" s="5"/>
      <c r="I810" s="5"/>
      <c r="J810" s="5"/>
    </row>
    <row r="811" spans="1:239" customHeight="1" ht="13.2">
      <c r="G811" s="5"/>
      <c r="H811" s="5"/>
      <c r="I811" s="5"/>
      <c r="J811" s="5"/>
    </row>
    <row r="812" spans="1:239" customHeight="1" ht="13.2">
      <c r="G812" s="5"/>
      <c r="H812" s="5"/>
      <c r="I812" s="5"/>
      <c r="J812" s="5"/>
    </row>
    <row r="813" spans="1:239" customHeight="1" ht="13.2">
      <c r="G813" s="5"/>
      <c r="H813" s="5"/>
      <c r="I813" s="5"/>
      <c r="J813" s="5"/>
    </row>
    <row r="814" spans="1:239" customHeight="1" ht="13.2">
      <c r="G814" s="5"/>
      <c r="H814" s="5"/>
      <c r="I814" s="5"/>
      <c r="J814" s="5"/>
    </row>
    <row r="815" spans="1:239" customHeight="1" ht="13.2">
      <c r="G815" s="5"/>
      <c r="H815" s="5"/>
      <c r="I815" s="5"/>
      <c r="J815" s="5"/>
    </row>
    <row r="816" spans="1:239" customHeight="1" ht="13.2">
      <c r="G816" s="5"/>
      <c r="H816" s="5"/>
      <c r="I816" s="5"/>
      <c r="J816" s="5"/>
    </row>
    <row r="817" spans="1:239" customHeight="1" ht="13.2">
      <c r="G817" s="5"/>
      <c r="H817" s="5"/>
      <c r="I817" s="5"/>
      <c r="J817" s="5"/>
    </row>
    <row r="818" spans="1:239" customHeight="1" ht="13.2">
      <c r="G818" s="5"/>
      <c r="H818" s="5"/>
      <c r="I818" s="5"/>
      <c r="J818" s="5"/>
    </row>
    <row r="819" spans="1:239" customHeight="1" ht="13.2">
      <c r="G819" s="5"/>
      <c r="H819" s="5"/>
      <c r="I819" s="5"/>
      <c r="J819" s="5"/>
    </row>
    <row r="820" spans="1:239" customHeight="1" ht="13.2">
      <c r="G820" s="5"/>
      <c r="H820" s="5"/>
      <c r="I820" s="5"/>
      <c r="J820" s="5"/>
    </row>
    <row r="821" spans="1:239" customHeight="1" ht="13.2">
      <c r="G821" s="5"/>
      <c r="H821" s="5"/>
      <c r="I821" s="5"/>
      <c r="J821" s="5"/>
    </row>
    <row r="822" spans="1:239" customHeight="1" ht="13.2">
      <c r="G822" s="5"/>
      <c r="H822" s="5"/>
      <c r="I822" s="5"/>
      <c r="J822" s="5"/>
    </row>
    <row r="823" spans="1:239" customHeight="1" ht="13.2">
      <c r="G823" s="5"/>
      <c r="H823" s="5"/>
      <c r="I823" s="5"/>
      <c r="J823" s="5"/>
    </row>
    <row r="824" spans="1:239" customHeight="1" ht="13.2">
      <c r="G824" s="5"/>
      <c r="H824" s="5"/>
      <c r="I824" s="5"/>
      <c r="J824" s="5"/>
    </row>
    <row r="825" spans="1:239" customHeight="1" ht="13.2">
      <c r="G825" s="5"/>
      <c r="H825" s="5"/>
      <c r="I825" s="5"/>
      <c r="J825" s="5"/>
    </row>
    <row r="826" spans="1:239" customHeight="1" ht="13.2">
      <c r="G826" s="5"/>
      <c r="H826" s="5"/>
      <c r="I826" s="5"/>
      <c r="J826" s="5"/>
    </row>
    <row r="827" spans="1:239" customHeight="1" ht="13.2">
      <c r="G827" s="5"/>
      <c r="H827" s="5"/>
      <c r="I827" s="5"/>
      <c r="J827" s="5"/>
    </row>
    <row r="828" spans="1:239" customHeight="1" ht="13.2">
      <c r="G828" s="5"/>
      <c r="H828" s="5"/>
      <c r="I828" s="5"/>
      <c r="J828" s="5"/>
    </row>
    <row r="829" spans="1:239" customHeight="1" ht="13.2">
      <c r="G829" s="5"/>
      <c r="H829" s="5"/>
      <c r="I829" s="5"/>
      <c r="J829" s="5"/>
    </row>
    <row r="830" spans="1:239" customHeight="1" ht="13.2">
      <c r="G830" s="5"/>
      <c r="H830" s="5"/>
      <c r="I830" s="5"/>
      <c r="J830" s="5"/>
    </row>
    <row r="831" spans="1:239" customHeight="1" ht="13.2">
      <c r="G831" s="5"/>
      <c r="H831" s="5"/>
      <c r="I831" s="5"/>
      <c r="J831" s="5"/>
    </row>
    <row r="832" spans="1:239" customHeight="1" ht="13.2">
      <c r="G832" s="5"/>
      <c r="H832" s="5"/>
      <c r="I832" s="5"/>
      <c r="J832" s="5"/>
    </row>
    <row r="833" spans="1:239" customHeight="1" ht="13.2">
      <c r="G833" s="5"/>
      <c r="H833" s="5"/>
      <c r="I833" s="5"/>
      <c r="J833" s="5"/>
    </row>
    <row r="834" spans="1:239" customHeight="1" ht="13.2">
      <c r="G834" s="5"/>
      <c r="H834" s="5"/>
      <c r="I834" s="5"/>
      <c r="J834" s="5"/>
    </row>
    <row r="835" spans="1:239" customHeight="1" ht="13.2">
      <c r="G835" s="5"/>
      <c r="H835" s="5"/>
      <c r="I835" s="5"/>
      <c r="J835" s="5"/>
    </row>
    <row r="836" spans="1:239" customHeight="1" ht="13.2">
      <c r="G836" s="5"/>
      <c r="H836" s="5"/>
      <c r="I836" s="5"/>
      <c r="J836" s="5"/>
    </row>
    <row r="837" spans="1:239" customHeight="1" ht="13.2">
      <c r="G837" s="5"/>
      <c r="H837" s="5"/>
      <c r="I837" s="5"/>
      <c r="J837" s="5"/>
    </row>
    <row r="838" spans="1:239" customHeight="1" ht="13.2">
      <c r="G838" s="5"/>
      <c r="H838" s="5"/>
      <c r="I838" s="5"/>
      <c r="J838" s="5"/>
    </row>
    <row r="839" spans="1:239" customHeight="1" ht="13.2">
      <c r="G839" s="5"/>
      <c r="H839" s="5"/>
      <c r="I839" s="5"/>
      <c r="J839" s="5"/>
    </row>
    <row r="840" spans="1:239" customHeight="1" ht="13.2">
      <c r="G840" s="5"/>
      <c r="H840" s="5"/>
      <c r="I840" s="5"/>
      <c r="J840" s="5"/>
    </row>
    <row r="841" spans="1:239" customHeight="1" ht="13.2">
      <c r="G841" s="5"/>
      <c r="H841" s="5"/>
      <c r="I841" s="5"/>
      <c r="J841" s="5"/>
    </row>
    <row r="842" spans="1:239" customHeight="1" ht="13.2">
      <c r="G842" s="5"/>
      <c r="H842" s="5"/>
      <c r="I842" s="5"/>
      <c r="J842" s="5"/>
    </row>
    <row r="843" spans="1:239" customHeight="1" ht="13.2">
      <c r="G843" s="5"/>
      <c r="H843" s="5"/>
      <c r="I843" s="5"/>
      <c r="J843" s="5"/>
    </row>
    <row r="844" spans="1:239" customHeight="1" ht="13.2">
      <c r="G844" s="5"/>
      <c r="H844" s="5"/>
      <c r="I844" s="5"/>
      <c r="J844" s="5"/>
    </row>
    <row r="845" spans="1:239" customHeight="1" ht="13.2">
      <c r="G845" s="5"/>
      <c r="H845" s="5"/>
      <c r="I845" s="5"/>
      <c r="J845" s="5"/>
    </row>
    <row r="846" spans="1:239" customHeight="1" ht="13.2">
      <c r="G846" s="5"/>
      <c r="H846" s="5"/>
      <c r="I846" s="5"/>
      <c r="J846" s="5"/>
    </row>
    <row r="847" spans="1:239" customHeight="1" ht="13.2">
      <c r="G847" s="5"/>
      <c r="H847" s="5"/>
      <c r="I847" s="5"/>
      <c r="J847" s="5"/>
    </row>
    <row r="848" spans="1:239" customHeight="1" ht="13.2">
      <c r="G848" s="5"/>
      <c r="H848" s="5"/>
      <c r="I848" s="5"/>
      <c r="J848" s="5"/>
    </row>
    <row r="849" spans="1:239" customHeight="1" ht="13.2">
      <c r="G849" s="5"/>
      <c r="H849" s="5"/>
      <c r="I849" s="5"/>
      <c r="J849" s="5"/>
    </row>
    <row r="850" spans="1:239" customHeight="1" ht="13.2">
      <c r="G850" s="5"/>
      <c r="H850" s="5"/>
      <c r="I850" s="5"/>
      <c r="J850" s="5"/>
    </row>
    <row r="851" spans="1:239" customHeight="1" ht="13.2">
      <c r="G851" s="5"/>
      <c r="H851" s="5"/>
      <c r="I851" s="5"/>
      <c r="J851" s="5"/>
    </row>
    <row r="852" spans="1:239" customHeight="1" ht="13.2">
      <c r="G852" s="5"/>
      <c r="H852" s="5"/>
      <c r="I852" s="5"/>
      <c r="J852" s="5"/>
    </row>
    <row r="853" spans="1:239" customHeight="1" ht="13.2">
      <c r="G853" s="5"/>
      <c r="H853" s="5"/>
      <c r="I853" s="5"/>
      <c r="J853" s="5"/>
    </row>
    <row r="854" spans="1:239" customHeight="1" ht="13.2">
      <c r="G854" s="5"/>
      <c r="H854" s="5"/>
      <c r="I854" s="5"/>
      <c r="J854" s="5"/>
    </row>
    <row r="855" spans="1:239" customHeight="1" ht="13.2">
      <c r="G855" s="5"/>
      <c r="H855" s="5"/>
      <c r="I855" s="5"/>
      <c r="J855" s="5"/>
    </row>
    <row r="856" spans="1:239" customHeight="1" ht="13.2">
      <c r="G856" s="5"/>
      <c r="H856" s="5"/>
      <c r="I856" s="5"/>
      <c r="J856" s="5"/>
    </row>
    <row r="857" spans="1:239" customHeight="1" ht="13.2">
      <c r="G857" s="5"/>
      <c r="H857" s="5"/>
      <c r="I857" s="5"/>
      <c r="J857" s="5"/>
    </row>
    <row r="858" spans="1:239" customHeight="1" ht="13.2">
      <c r="G858" s="5"/>
      <c r="H858" s="5"/>
      <c r="I858" s="5"/>
      <c r="J858" s="5"/>
    </row>
    <row r="859" spans="1:239" customHeight="1" ht="13.2">
      <c r="G859" s="5"/>
      <c r="H859" s="5"/>
      <c r="I859" s="5"/>
      <c r="J859" s="5"/>
    </row>
    <row r="860" spans="1:239" customHeight="1" ht="13.2">
      <c r="G860" s="5"/>
      <c r="H860" s="5"/>
      <c r="I860" s="5"/>
      <c r="J860" s="5"/>
    </row>
    <row r="861" spans="1:239" customHeight="1" ht="13.2">
      <c r="G861" s="5"/>
      <c r="H861" s="5"/>
      <c r="I861" s="5"/>
      <c r="J861" s="5"/>
    </row>
    <row r="862" spans="1:239" customHeight="1" ht="13.2">
      <c r="G862" s="5"/>
      <c r="H862" s="5"/>
      <c r="I862" s="5"/>
      <c r="J862" s="5"/>
    </row>
    <row r="863" spans="1:239" customHeight="1" ht="13.2">
      <c r="G863" s="5"/>
      <c r="H863" s="5"/>
      <c r="I863" s="5"/>
      <c r="J863" s="5"/>
    </row>
    <row r="864" spans="1:239" customHeight="1" ht="13.2">
      <c r="G864" s="5"/>
      <c r="H864" s="5"/>
      <c r="I864" s="5"/>
      <c r="J864" s="5"/>
    </row>
    <row r="865" spans="1:239" customHeight="1" ht="13.2">
      <c r="G865" s="5"/>
      <c r="H865" s="5"/>
      <c r="I865" s="5"/>
      <c r="J865" s="5"/>
    </row>
    <row r="866" spans="1:239" customHeight="1" ht="13.2">
      <c r="G866" s="5"/>
      <c r="H866" s="5"/>
      <c r="I866" s="5"/>
      <c r="J866" s="5"/>
    </row>
    <row r="867" spans="1:239" customHeight="1" ht="13.2">
      <c r="G867" s="5"/>
      <c r="H867" s="5"/>
      <c r="I867" s="5"/>
      <c r="J867" s="5"/>
    </row>
    <row r="868" spans="1:239" customHeight="1" ht="13.2">
      <c r="G868" s="5"/>
      <c r="H868" s="5"/>
      <c r="I868" s="5"/>
      <c r="J868" s="5"/>
    </row>
    <row r="869" spans="1:239" customHeight="1" ht="13.2">
      <c r="G869" s="5"/>
      <c r="H869" s="5"/>
      <c r="I869" s="5"/>
      <c r="J869" s="5"/>
    </row>
    <row r="870" spans="1:239" customHeight="1" ht="13.2">
      <c r="G870" s="5"/>
      <c r="H870" s="5"/>
      <c r="I870" s="5"/>
      <c r="J870" s="5"/>
    </row>
    <row r="871" spans="1:239" customHeight="1" ht="13.2">
      <c r="G871" s="5"/>
      <c r="H871" s="5"/>
      <c r="I871" s="5"/>
      <c r="J871" s="5"/>
    </row>
    <row r="872" spans="1:239" customHeight="1" ht="13.2">
      <c r="G872" s="5"/>
      <c r="H872" s="5"/>
      <c r="I872" s="5"/>
      <c r="J872" s="5"/>
    </row>
    <row r="873" spans="1:239" customHeight="1" ht="13.2">
      <c r="G873" s="5"/>
      <c r="H873" s="5"/>
      <c r="I873" s="5"/>
      <c r="J873" s="5"/>
    </row>
    <row r="874" spans="1:239" customHeight="1" ht="13.2">
      <c r="G874" s="5"/>
      <c r="H874" s="5"/>
      <c r="I874" s="5"/>
      <c r="J874" s="5"/>
    </row>
    <row r="875" spans="1:239" customHeight="1" ht="13.2">
      <c r="G875" s="5"/>
      <c r="H875" s="5"/>
      <c r="I875" s="5"/>
      <c r="J875" s="5"/>
    </row>
    <row r="876" spans="1:239" customHeight="1" ht="13.2">
      <c r="G876" s="5"/>
      <c r="H876" s="5"/>
      <c r="I876" s="5"/>
      <c r="J876" s="5"/>
    </row>
    <row r="877" spans="1:239" customHeight="1" ht="13.2">
      <c r="G877" s="5"/>
      <c r="H877" s="5"/>
      <c r="I877" s="5"/>
      <c r="J877" s="5"/>
    </row>
    <row r="878" spans="1:239" customHeight="1" ht="13.2">
      <c r="G878" s="5"/>
      <c r="H878" s="5"/>
      <c r="I878" s="5"/>
      <c r="J878" s="5"/>
    </row>
    <row r="879" spans="1:239" customHeight="1" ht="13.2">
      <c r="G879" s="5"/>
      <c r="H879" s="5"/>
      <c r="I879" s="5"/>
      <c r="J879" s="5"/>
    </row>
    <row r="880" spans="1:239" customHeight="1" ht="13.2">
      <c r="G880" s="5"/>
      <c r="H880" s="5"/>
      <c r="I880" s="5"/>
      <c r="J880" s="5"/>
    </row>
    <row r="881" spans="1:239" customHeight="1" ht="13.2">
      <c r="G881" s="5"/>
      <c r="H881" s="5"/>
      <c r="I881" s="5"/>
      <c r="J881" s="5"/>
    </row>
    <row r="882" spans="1:239" customHeight="1" ht="13.2">
      <c r="G882" s="5"/>
      <c r="H882" s="5"/>
      <c r="I882" s="5"/>
      <c r="J882" s="5"/>
    </row>
    <row r="883" spans="1:239" customHeight="1" ht="13.2">
      <c r="G883" s="5"/>
      <c r="H883" s="5"/>
      <c r="I883" s="5"/>
      <c r="J883" s="5"/>
    </row>
    <row r="884" spans="1:239" customHeight="1" ht="13.2">
      <c r="G884" s="5"/>
      <c r="H884" s="5"/>
      <c r="I884" s="5"/>
      <c r="J884" s="5"/>
    </row>
    <row r="885" spans="1:239" customHeight="1" ht="13.2">
      <c r="G885" s="5"/>
      <c r="H885" s="5"/>
      <c r="I885" s="5"/>
      <c r="J885" s="5"/>
    </row>
    <row r="886" spans="1:239" customHeight="1" ht="13.2">
      <c r="G886" s="5"/>
      <c r="H886" s="5"/>
      <c r="I886" s="5"/>
      <c r="J886" s="5"/>
    </row>
    <row r="887" spans="1:239" customHeight="1" ht="13.2">
      <c r="G887" s="5"/>
      <c r="H887" s="5"/>
      <c r="I887" s="5"/>
      <c r="J887" s="5"/>
    </row>
    <row r="888" spans="1:239" customHeight="1" ht="13.2">
      <c r="G888" s="5"/>
      <c r="H888" s="5"/>
      <c r="I888" s="5"/>
      <c r="J888" s="5"/>
    </row>
    <row r="889" spans="1:239" customHeight="1" ht="13.2">
      <c r="G889" s="5"/>
      <c r="H889" s="5"/>
      <c r="I889" s="5"/>
      <c r="J889" s="5"/>
    </row>
    <row r="890" spans="1:239" customHeight="1" ht="13.2">
      <c r="G890" s="5"/>
      <c r="H890" s="5"/>
      <c r="I890" s="5"/>
      <c r="J890" s="5"/>
    </row>
    <row r="891" spans="1:239" customHeight="1" ht="13.2">
      <c r="G891" s="5"/>
      <c r="H891" s="5"/>
      <c r="I891" s="5"/>
      <c r="J891" s="5"/>
    </row>
    <row r="892" spans="1:239" customHeight="1" ht="13.2">
      <c r="G892" s="5"/>
      <c r="H892" s="5"/>
      <c r="I892" s="5"/>
      <c r="J892" s="5"/>
    </row>
    <row r="893" spans="1:239" customHeight="1" ht="13.2">
      <c r="G893" s="5"/>
      <c r="H893" s="5"/>
      <c r="I893" s="5"/>
      <c r="J893" s="5"/>
    </row>
    <row r="894" spans="1:239" customHeight="1" ht="13.2">
      <c r="G894" s="5"/>
      <c r="H894" s="5"/>
      <c r="I894" s="5"/>
      <c r="J894" s="5"/>
    </row>
    <row r="895" spans="1:239" customHeight="1" ht="13.2">
      <c r="G895" s="5"/>
      <c r="H895" s="5"/>
      <c r="I895" s="5"/>
      <c r="J895" s="5"/>
    </row>
    <row r="896" spans="1:239" customHeight="1" ht="13.2">
      <c r="G896" s="5"/>
      <c r="H896" s="5"/>
      <c r="I896" s="5"/>
      <c r="J896" s="5"/>
    </row>
    <row r="897" spans="1:239" customHeight="1" ht="13.2">
      <c r="G897" s="5"/>
      <c r="H897" s="5"/>
      <c r="I897" s="5"/>
      <c r="J897" s="5"/>
    </row>
    <row r="898" spans="1:239" customHeight="1" ht="13.2">
      <c r="G898" s="5"/>
      <c r="H898" s="5"/>
      <c r="I898" s="5"/>
      <c r="J898" s="5"/>
    </row>
    <row r="899" spans="1:239" customHeight="1" ht="13.2">
      <c r="G899" s="5"/>
      <c r="H899" s="5"/>
      <c r="I899" s="5"/>
      <c r="J899" s="5"/>
    </row>
    <row r="900" spans="1:239" customHeight="1" ht="13.2">
      <c r="G900" s="5"/>
      <c r="H900" s="5"/>
      <c r="I900" s="5"/>
      <c r="J900" s="5"/>
    </row>
    <row r="901" spans="1:239" customHeight="1" ht="13.2">
      <c r="G901" s="5"/>
      <c r="H901" s="5"/>
      <c r="I901" s="5"/>
      <c r="J901" s="5"/>
    </row>
    <row r="902" spans="1:239" customHeight="1" ht="13.2">
      <c r="G902" s="5"/>
      <c r="H902" s="5"/>
      <c r="I902" s="5"/>
      <c r="J902" s="5"/>
    </row>
    <row r="903" spans="1:239" customHeight="1" ht="13.2">
      <c r="G903" s="5"/>
      <c r="H903" s="5"/>
      <c r="I903" s="5"/>
      <c r="J903" s="5"/>
    </row>
    <row r="904" spans="1:239" customHeight="1" ht="13.2">
      <c r="G904" s="5"/>
      <c r="H904" s="5"/>
      <c r="I904" s="5"/>
      <c r="J904" s="5"/>
    </row>
    <row r="905" spans="1:239" customHeight="1" ht="13.2">
      <c r="G905" s="5"/>
      <c r="H905" s="5"/>
      <c r="I905" s="5"/>
      <c r="J905" s="5"/>
    </row>
    <row r="906" spans="1:239" customHeight="1" ht="13.2">
      <c r="G906" s="5"/>
      <c r="H906" s="5"/>
      <c r="I906" s="5"/>
      <c r="J906" s="5"/>
    </row>
    <row r="907" spans="1:239" customHeight="1" ht="13.2">
      <c r="G907" s="5"/>
      <c r="H907" s="5"/>
      <c r="I907" s="5"/>
      <c r="J907" s="5"/>
    </row>
    <row r="908" spans="1:239" customHeight="1" ht="13.2">
      <c r="G908" s="5"/>
      <c r="H908" s="5"/>
      <c r="I908" s="5"/>
      <c r="J908" s="5"/>
    </row>
    <row r="909" spans="1:239" customHeight="1" ht="13.2">
      <c r="G909" s="5"/>
      <c r="H909" s="5"/>
      <c r="I909" s="5"/>
      <c r="J909" s="5"/>
    </row>
    <row r="910" spans="1:239" customHeight="1" ht="13.2">
      <c r="G910" s="5"/>
      <c r="H910" s="5"/>
      <c r="I910" s="5"/>
      <c r="J910" s="5"/>
    </row>
    <row r="911" spans="1:239" customHeight="1" ht="13.2">
      <c r="G911" s="5"/>
      <c r="H911" s="5"/>
      <c r="I911" s="5"/>
      <c r="J911" s="5"/>
    </row>
    <row r="912" spans="1:239" customHeight="1" ht="13.2">
      <c r="G912" s="5"/>
      <c r="H912" s="5"/>
      <c r="I912" s="5"/>
      <c r="J912" s="5"/>
    </row>
    <row r="913" spans="1:239" customHeight="1" ht="13.2">
      <c r="G913" s="5"/>
      <c r="H913" s="5"/>
      <c r="I913" s="5"/>
      <c r="J913" s="5"/>
    </row>
    <row r="914" spans="1:239" customHeight="1" ht="13.2">
      <c r="G914" s="5"/>
      <c r="H914" s="5"/>
      <c r="I914" s="5"/>
      <c r="J914" s="5"/>
    </row>
    <row r="915" spans="1:239" customHeight="1" ht="13.2">
      <c r="G915" s="5"/>
      <c r="H915" s="5"/>
      <c r="I915" s="5"/>
      <c r="J915" s="5"/>
    </row>
    <row r="916" spans="1:239" customHeight="1" ht="13.2">
      <c r="G916" s="5"/>
      <c r="H916" s="5"/>
      <c r="I916" s="5"/>
      <c r="J916" s="5"/>
    </row>
    <row r="917" spans="1:239" customHeight="1" ht="13.2">
      <c r="G917" s="5"/>
      <c r="H917" s="5"/>
      <c r="I917" s="5"/>
      <c r="J917" s="5"/>
    </row>
    <row r="918" spans="1:239" customHeight="1" ht="13.2">
      <c r="G918" s="5"/>
      <c r="H918" s="5"/>
      <c r="I918" s="5"/>
      <c r="J918" s="5"/>
    </row>
    <row r="919" spans="1:239" customHeight="1" ht="13.2">
      <c r="G919" s="5"/>
      <c r="H919" s="5"/>
      <c r="I919" s="5"/>
      <c r="J919" s="5"/>
    </row>
    <row r="920" spans="1:239" customHeight="1" ht="13.2">
      <c r="G920" s="5"/>
      <c r="H920" s="5"/>
      <c r="I920" s="5"/>
      <c r="J920" s="5"/>
    </row>
    <row r="921" spans="1:239" customHeight="1" ht="13.2">
      <c r="G921" s="5"/>
      <c r="H921" s="5"/>
      <c r="I921" s="5"/>
      <c r="J921" s="5"/>
    </row>
    <row r="922" spans="1:239" customHeight="1" ht="13.2">
      <c r="G922" s="5"/>
      <c r="H922" s="5"/>
      <c r="I922" s="5"/>
      <c r="J922" s="5"/>
    </row>
    <row r="923" spans="1:239" customHeight="1" ht="13.2">
      <c r="G923" s="5"/>
      <c r="H923" s="5"/>
      <c r="I923" s="5"/>
      <c r="J923" s="5"/>
    </row>
    <row r="924" spans="1:239" customHeight="1" ht="13.2">
      <c r="G924" s="5"/>
      <c r="H924" s="5"/>
      <c r="I924" s="5"/>
      <c r="J924" s="5"/>
    </row>
    <row r="925" spans="1:239" customHeight="1" ht="13.2">
      <c r="G925" s="5"/>
      <c r="H925" s="5"/>
      <c r="I925" s="5"/>
      <c r="J925" s="5"/>
    </row>
    <row r="926" spans="1:239" customHeight="1" ht="13.2">
      <c r="G926" s="5"/>
      <c r="H926" s="5"/>
      <c r="I926" s="5"/>
      <c r="J926" s="5"/>
    </row>
    <row r="927" spans="1:239" customHeight="1" ht="13.2">
      <c r="G927" s="5"/>
      <c r="H927" s="5"/>
      <c r="I927" s="5"/>
      <c r="J927" s="5"/>
    </row>
    <row r="928" spans="1:239" customHeight="1" ht="13.2">
      <c r="G928" s="5"/>
      <c r="H928" s="5"/>
      <c r="I928" s="5"/>
      <c r="J928" s="5"/>
    </row>
    <row r="929" spans="1:239" customHeight="1" ht="13.2">
      <c r="G929" s="5"/>
      <c r="H929" s="5"/>
      <c r="I929" s="5"/>
      <c r="J929" s="5"/>
    </row>
    <row r="930" spans="1:239" customHeight="1" ht="13.2">
      <c r="G930" s="5"/>
      <c r="H930" s="5"/>
      <c r="I930" s="5"/>
      <c r="J930" s="5"/>
    </row>
    <row r="931" spans="1:239" customHeight="1" ht="13.2">
      <c r="G931" s="5"/>
      <c r="H931" s="5"/>
      <c r="I931" s="5"/>
      <c r="J931" s="5"/>
    </row>
    <row r="932" spans="1:239" customHeight="1" ht="13.2">
      <c r="G932" s="5"/>
      <c r="H932" s="5"/>
      <c r="I932" s="5"/>
      <c r="J932" s="5"/>
    </row>
    <row r="933" spans="1:239" customHeight="1" ht="13.2">
      <c r="G933" s="5"/>
      <c r="H933" s="5"/>
      <c r="I933" s="5"/>
      <c r="J933" s="5"/>
    </row>
    <row r="934" spans="1:239" customHeight="1" ht="13.2">
      <c r="G934" s="5"/>
      <c r="H934" s="5"/>
      <c r="I934" s="5"/>
      <c r="J934" s="5"/>
    </row>
    <row r="935" spans="1:239" customHeight="1" ht="13.2">
      <c r="G935" s="5"/>
      <c r="H935" s="5"/>
      <c r="I935" s="5"/>
      <c r="J935" s="5"/>
    </row>
    <row r="936" spans="1:239" customHeight="1" ht="13.2">
      <c r="G936" s="5"/>
      <c r="H936" s="5"/>
      <c r="I936" s="5"/>
      <c r="J936" s="5"/>
    </row>
    <row r="937" spans="1:239" customHeight="1" ht="13.2">
      <c r="G937" s="5"/>
      <c r="H937" s="5"/>
      <c r="I937" s="5"/>
      <c r="J937" s="5"/>
    </row>
    <row r="938" spans="1:239" customHeight="1" ht="13.2">
      <c r="G938" s="5"/>
      <c r="H938" s="5"/>
      <c r="I938" s="5"/>
      <c r="J938" s="5"/>
    </row>
    <row r="939" spans="1:239" customHeight="1" ht="13.2">
      <c r="G939" s="5"/>
      <c r="H939" s="5"/>
      <c r="I939" s="5"/>
      <c r="J939" s="5"/>
    </row>
    <row r="940" spans="1:239" customHeight="1" ht="13.2">
      <c r="G940" s="5"/>
      <c r="H940" s="5"/>
      <c r="I940" s="5"/>
      <c r="J940" s="5"/>
    </row>
    <row r="941" spans="1:239" customHeight="1" ht="13.2">
      <c r="G941" s="5"/>
      <c r="H941" s="5"/>
      <c r="I941" s="5"/>
      <c r="J941" s="5"/>
    </row>
    <row r="942" spans="1:239" customHeight="1" ht="13.2">
      <c r="G942" s="5"/>
      <c r="H942" s="5"/>
      <c r="I942" s="5"/>
      <c r="J942" s="5"/>
    </row>
    <row r="943" spans="1:239" customHeight="1" ht="13.2">
      <c r="G943" s="5"/>
      <c r="H943" s="5"/>
      <c r="I943" s="5"/>
      <c r="J943" s="5"/>
    </row>
    <row r="944" spans="1:239" customHeight="1" ht="13.2">
      <c r="G944" s="5"/>
      <c r="H944" s="5"/>
      <c r="I944" s="5"/>
      <c r="J944" s="5"/>
    </row>
    <row r="945" spans="1:239" customHeight="1" ht="13.2">
      <c r="G945" s="5"/>
      <c r="H945" s="5"/>
      <c r="I945" s="5"/>
      <c r="J945" s="5"/>
    </row>
    <row r="946" spans="1:239" customHeight="1" ht="13.2">
      <c r="G946" s="5"/>
      <c r="H946" s="5"/>
      <c r="I946" s="5"/>
      <c r="J946" s="5"/>
    </row>
    <row r="947" spans="1:239" customHeight="1" ht="13.2">
      <c r="G947" s="5"/>
      <c r="H947" s="5"/>
      <c r="I947" s="5"/>
      <c r="J947" s="5"/>
    </row>
    <row r="948" spans="1:239" customHeight="1" ht="13.2">
      <c r="G948" s="5"/>
      <c r="H948" s="5"/>
      <c r="I948" s="5"/>
      <c r="J948" s="5"/>
    </row>
    <row r="949" spans="1:239" customHeight="1" ht="13.2">
      <c r="G949" s="5"/>
      <c r="H949" s="5"/>
      <c r="I949" s="5"/>
      <c r="J949" s="5"/>
    </row>
    <row r="950" spans="1:239" customHeight="1" ht="13.2">
      <c r="G950" s="5"/>
      <c r="H950" s="5"/>
      <c r="I950" s="5"/>
      <c r="J950" s="5"/>
    </row>
    <row r="951" spans="1:239" customHeight="1" ht="13.2">
      <c r="G951" s="5"/>
      <c r="H951" s="5"/>
      <c r="I951" s="5"/>
      <c r="J951" s="5"/>
    </row>
    <row r="952" spans="1:239" customHeight="1" ht="13.2">
      <c r="G952" s="5"/>
      <c r="H952" s="5"/>
      <c r="I952" s="5"/>
      <c r="J952" s="5"/>
    </row>
    <row r="953" spans="1:239" customHeight="1" ht="13.2">
      <c r="G953" s="5"/>
      <c r="H953" s="5"/>
      <c r="I953" s="5"/>
      <c r="J953" s="5"/>
    </row>
    <row r="954" spans="1:239" customHeight="1" ht="13.2">
      <c r="G954" s="5"/>
      <c r="H954" s="5"/>
      <c r="I954" s="5"/>
      <c r="J954" s="5"/>
    </row>
    <row r="955" spans="1:239" customHeight="1" ht="13.2">
      <c r="G955" s="5"/>
      <c r="H955" s="5"/>
      <c r="I955" s="5"/>
      <c r="J955" s="5"/>
    </row>
    <row r="956" spans="1:239" customHeight="1" ht="13.2">
      <c r="G956" s="5"/>
      <c r="H956" s="5"/>
      <c r="I956" s="5"/>
      <c r="J956" s="5"/>
    </row>
    <row r="957" spans="1:239" customHeight="1" ht="13.2">
      <c r="G957" s="5"/>
      <c r="H957" s="5"/>
      <c r="I957" s="5"/>
      <c r="J957" s="5"/>
    </row>
    <row r="958" spans="1:239" customHeight="1" ht="13.2">
      <c r="G958" s="5"/>
      <c r="H958" s="5"/>
      <c r="I958" s="5"/>
      <c r="J958" s="5"/>
    </row>
    <row r="959" spans="1:239" customHeight="1" ht="13.2">
      <c r="G959" s="5"/>
      <c r="H959" s="5"/>
      <c r="I959" s="5"/>
      <c r="J959" s="5"/>
    </row>
    <row r="960" spans="1:239" customHeight="1" ht="13.2">
      <c r="G960" s="5"/>
      <c r="H960" s="5"/>
      <c r="I960" s="5"/>
      <c r="J960" s="5"/>
    </row>
    <row r="961" spans="1:239" customHeight="1" ht="13.2">
      <c r="G961" s="5"/>
      <c r="H961" s="5"/>
      <c r="I961" s="5"/>
      <c r="J961" s="5"/>
    </row>
    <row r="962" spans="1:239" customHeight="1" ht="13.2">
      <c r="G962" s="5"/>
      <c r="H962" s="5"/>
      <c r="I962" s="5"/>
      <c r="J962" s="5"/>
    </row>
    <row r="963" spans="1:239" customHeight="1" ht="13.2">
      <c r="G963" s="5"/>
      <c r="H963" s="5"/>
      <c r="I963" s="5"/>
      <c r="J963" s="5"/>
    </row>
    <row r="964" spans="1:239" customHeight="1" ht="13.2">
      <c r="G964" s="5"/>
      <c r="H964" s="5"/>
      <c r="I964" s="5"/>
      <c r="J964" s="5"/>
    </row>
    <row r="965" spans="1:239" customHeight="1" ht="13.2">
      <c r="G965" s="5"/>
      <c r="H965" s="5"/>
      <c r="I965" s="5"/>
      <c r="J965" s="5"/>
    </row>
    <row r="966" spans="1:239" customHeight="1" ht="13.2">
      <c r="G966" s="5"/>
      <c r="H966" s="5"/>
      <c r="I966" s="5"/>
      <c r="J966" s="5"/>
    </row>
    <row r="967" spans="1:239" customHeight="1" ht="13.2">
      <c r="G967" s="5"/>
      <c r="H967" s="5"/>
      <c r="I967" s="5"/>
      <c r="J967" s="5"/>
    </row>
    <row r="968" spans="1:239" customHeight="1" ht="13.2">
      <c r="G968" s="5"/>
      <c r="H968" s="5"/>
      <c r="I968" s="5"/>
      <c r="J968" s="5"/>
    </row>
    <row r="969" spans="1:239" customHeight="1" ht="13.2">
      <c r="G969" s="5"/>
      <c r="H969" s="5"/>
      <c r="I969" s="5"/>
      <c r="J969" s="5"/>
    </row>
    <row r="970" spans="1:239" customHeight="1" ht="13.2">
      <c r="G970" s="5"/>
      <c r="H970" s="5"/>
      <c r="I970" s="5"/>
      <c r="J970" s="5"/>
    </row>
    <row r="971" spans="1:239" customHeight="1" ht="13.2">
      <c r="G971" s="5"/>
      <c r="H971" s="5"/>
      <c r="I971" s="5"/>
      <c r="J971" s="5"/>
    </row>
    <row r="972" spans="1:239" customHeight="1" ht="13.2">
      <c r="G972" s="5"/>
      <c r="H972" s="5"/>
      <c r="I972" s="5"/>
      <c r="J972" s="5"/>
    </row>
    <row r="973" spans="1:239" customHeight="1" ht="13.2">
      <c r="G973" s="5"/>
      <c r="H973" s="5"/>
      <c r="I973" s="5"/>
      <c r="J973" s="5"/>
    </row>
    <row r="974" spans="1:239" customHeight="1" ht="13.2">
      <c r="G974" s="5"/>
      <c r="H974" s="5"/>
      <c r="I974" s="5"/>
      <c r="J974" s="5"/>
    </row>
    <row r="975" spans="1:239" customHeight="1" ht="13.2">
      <c r="G975" s="5"/>
      <c r="H975" s="5"/>
      <c r="I975" s="5"/>
      <c r="J975" s="5"/>
    </row>
    <row r="976" spans="1:239" customHeight="1" ht="13.2">
      <c r="G976" s="5"/>
      <c r="H976" s="5"/>
      <c r="I976" s="5"/>
      <c r="J976" s="5"/>
    </row>
    <row r="977" spans="1:239" customHeight="1" ht="13.2">
      <c r="G977" s="5"/>
      <c r="H977" s="5"/>
      <c r="I977" s="5"/>
      <c r="J977" s="5"/>
    </row>
    <row r="978" spans="1:239" customHeight="1" ht="13.2">
      <c r="G978" s="5"/>
      <c r="H978" s="5"/>
      <c r="I978" s="5"/>
      <c r="J978" s="5"/>
    </row>
    <row r="979" spans="1:239" customHeight="1" ht="13.2">
      <c r="G979" s="5"/>
      <c r="H979" s="5"/>
      <c r="I979" s="5"/>
      <c r="J979" s="5"/>
    </row>
    <row r="980" spans="1:239" customHeight="1" ht="13.2">
      <c r="G980" s="5"/>
      <c r="H980" s="5"/>
      <c r="I980" s="5"/>
      <c r="J980" s="5"/>
    </row>
    <row r="981" spans="1:239" customHeight="1" ht="13.2">
      <c r="G981" s="5"/>
      <c r="H981" s="5"/>
      <c r="I981" s="5"/>
      <c r="J981" s="5"/>
    </row>
    <row r="982" spans="1:239" customHeight="1" ht="13.2">
      <c r="G982" s="5"/>
      <c r="H982" s="5"/>
      <c r="I982" s="5"/>
      <c r="J982" s="5"/>
    </row>
    <row r="983" spans="1:239" customHeight="1" ht="13.2">
      <c r="G983" s="5"/>
      <c r="H983" s="5"/>
      <c r="I983" s="5"/>
      <c r="J983" s="5"/>
    </row>
    <row r="984" spans="1:239" customHeight="1" ht="13.2">
      <c r="G984" s="5"/>
      <c r="H984" s="5"/>
      <c r="I984" s="5"/>
      <c r="J984" s="5"/>
    </row>
    <row r="985" spans="1:239" customHeight="1" ht="13.2">
      <c r="G985" s="5"/>
      <c r="H985" s="5"/>
      <c r="I985" s="5"/>
      <c r="J985" s="5"/>
    </row>
    <row r="986" spans="1:239" customHeight="1" ht="13.2">
      <c r="G986" s="5"/>
      <c r="H986" s="5"/>
      <c r="I986" s="5"/>
      <c r="J986" s="5"/>
    </row>
    <row r="987" spans="1:239" customHeight="1" ht="13.2">
      <c r="G987" s="5"/>
      <c r="H987" s="5"/>
      <c r="I987" s="5"/>
      <c r="J987" s="5"/>
    </row>
    <row r="988" spans="1:239" customHeight="1" ht="13.2">
      <c r="G988" s="5"/>
      <c r="H988" s="5"/>
      <c r="I988" s="5"/>
      <c r="J988" s="5"/>
    </row>
    <row r="989" spans="1:239" customHeight="1" ht="13.2">
      <c r="G989" s="5"/>
      <c r="H989" s="5"/>
      <c r="I989" s="5"/>
      <c r="J989" s="5"/>
    </row>
    <row r="990" spans="1:239" customHeight="1" ht="13.2">
      <c r="G990" s="5"/>
      <c r="H990" s="5"/>
      <c r="I990" s="5"/>
      <c r="J990" s="5"/>
    </row>
    <row r="991" spans="1:239" customHeight="1" ht="13.2">
      <c r="G991" s="5"/>
      <c r="H991" s="5"/>
      <c r="I991" s="5"/>
      <c r="J991" s="5"/>
    </row>
    <row r="992" spans="1:239" customHeight="1" ht="13.2">
      <c r="G992" s="5"/>
      <c r="H992" s="5"/>
      <c r="I992" s="5"/>
      <c r="J992" s="5"/>
    </row>
    <row r="993" spans="1:239" customHeight="1" ht="13.2">
      <c r="G993" s="5"/>
      <c r="H993" s="5"/>
      <c r="I993" s="5"/>
      <c r="J993" s="5"/>
    </row>
    <row r="994" spans="1:239" customHeight="1" ht="13.2">
      <c r="G994" s="5"/>
      <c r="H994" s="5"/>
      <c r="I994" s="5"/>
      <c r="J994" s="5"/>
    </row>
    <row r="995" spans="1:239" customHeight="1" ht="13.2">
      <c r="G995" s="5"/>
      <c r="H995" s="5"/>
      <c r="I995" s="5"/>
      <c r="J995" s="5"/>
    </row>
    <row r="996" spans="1:239" customHeight="1" ht="13.2">
      <c r="G996" s="5"/>
      <c r="H996" s="5"/>
      <c r="I996" s="5"/>
      <c r="J996" s="5"/>
    </row>
    <row r="997" spans="1:239" customHeight="1" ht="13.2">
      <c r="G997" s="5"/>
      <c r="H997" s="5"/>
      <c r="I997" s="5"/>
      <c r="J997" s="5"/>
    </row>
    <row r="998" spans="1:239" customHeight="1" ht="13.2">
      <c r="G998" s="5"/>
      <c r="H998" s="5"/>
      <c r="I998" s="5"/>
      <c r="J998" s="5"/>
    </row>
    <row r="999" spans="1:239" customHeight="1" ht="13.2">
      <c r="G999" s="5"/>
      <c r="H999" s="5"/>
      <c r="I999" s="5"/>
      <c r="J999" s="5"/>
    </row>
    <row r="1000" spans="1:239" customHeight="1" ht="13.2">
      <c r="G1000" s="5"/>
      <c r="H1000" s="5"/>
      <c r="I1000" s="5"/>
      <c r="J1000" s="5"/>
    </row>
    <row r="1001" spans="1:239" customHeight="1" ht="13.2">
      <c r="G1001" s="5"/>
      <c r="H1001" s="5"/>
      <c r="I1001" s="5"/>
      <c r="J1001" s="5"/>
    </row>
    <row r="1002" spans="1:239" customHeight="1" ht="13.2">
      <c r="G1002" s="5"/>
      <c r="H1002" s="5"/>
      <c r="I1002" s="5"/>
      <c r="J1002" s="5"/>
    </row>
    <row r="1003" spans="1:239" customHeight="1" ht="13.2">
      <c r="G1003" s="5"/>
      <c r="H1003" s="5"/>
      <c r="I1003" s="5"/>
      <c r="J1003" s="5"/>
    </row>
    <row r="1004" spans="1:239" customHeight="1" ht="13.2">
      <c r="G1004" s="5"/>
      <c r="H1004" s="5"/>
      <c r="I1004" s="5"/>
      <c r="J1004" s="5"/>
    </row>
    <row r="1005" spans="1:239" customHeight="1" ht="13.2">
      <c r="G1005" s="5"/>
      <c r="H1005" s="5"/>
      <c r="I1005" s="5"/>
      <c r="J1005" s="5"/>
    </row>
    <row r="1006" spans="1:239" customHeight="1" ht="13.2">
      <c r="G1006" s="5"/>
      <c r="H1006" s="5"/>
      <c r="I1006" s="5"/>
      <c r="J1006" s="5"/>
    </row>
    <row r="1007" spans="1:239" customHeight="1" ht="13.2">
      <c r="G1007" s="5"/>
      <c r="H1007" s="5"/>
      <c r="I1007" s="5"/>
      <c r="J1007" s="5"/>
    </row>
    <row r="1008" spans="1:239" customHeight="1" ht="13.2">
      <c r="G1008" s="5"/>
      <c r="H1008" s="5"/>
      <c r="I1008" s="5"/>
      <c r="J1008" s="5"/>
    </row>
    <row r="1009" spans="1:239" customHeight="1" ht="13.2">
      <c r="G1009" s="5"/>
      <c r="H1009" s="5"/>
      <c r="I1009" s="5"/>
      <c r="J1009" s="5"/>
    </row>
    <row r="1010" spans="1:239" customHeight="1" ht="13.2">
      <c r="G1010" s="5"/>
      <c r="H1010" s="5"/>
      <c r="I1010" s="5"/>
      <c r="J1010" s="5"/>
    </row>
    <row r="1011" spans="1:239" customHeight="1" ht="13.2">
      <c r="G1011" s="5"/>
      <c r="H1011" s="5"/>
      <c r="I1011" s="5"/>
      <c r="J1011" s="5"/>
    </row>
    <row r="1012" spans="1:239" customHeight="1" ht="13.2">
      <c r="G1012" s="5"/>
      <c r="H1012" s="5"/>
      <c r="I1012" s="5"/>
      <c r="J1012" s="5"/>
    </row>
    <row r="1013" spans="1:239" customHeight="1" ht="13.2">
      <c r="G1013" s="5"/>
      <c r="H1013" s="5"/>
      <c r="I1013" s="5"/>
      <c r="J1013" s="5"/>
    </row>
    <row r="1014" spans="1:239" customHeight="1" ht="13.2">
      <c r="G1014" s="5"/>
      <c r="H1014" s="5"/>
      <c r="I1014" s="5"/>
      <c r="J1014" s="5"/>
    </row>
    <row r="1015" spans="1:239" customHeight="1" ht="13.2">
      <c r="G1015" s="5"/>
      <c r="H1015" s="5"/>
      <c r="I1015" s="5"/>
      <c r="J1015" s="5"/>
    </row>
    <row r="1016" spans="1:239" customHeight="1" ht="13.2">
      <c r="G1016" s="5"/>
      <c r="H1016" s="5"/>
      <c r="I1016" s="5"/>
      <c r="J1016" s="5"/>
    </row>
    <row r="1017" spans="1:239" customHeight="1" ht="13.2">
      <c r="G1017" s="5"/>
      <c r="H1017" s="5"/>
      <c r="I1017" s="5"/>
      <c r="J1017" s="5"/>
    </row>
    <row r="1018" spans="1:239" customHeight="1" ht="13.2">
      <c r="G1018" s="5"/>
      <c r="H1018" s="5"/>
      <c r="I1018" s="5"/>
      <c r="J1018" s="5"/>
    </row>
    <row r="1019" spans="1:239" customHeight="1" ht="13.2">
      <c r="G1019" s="5"/>
      <c r="H1019" s="5"/>
      <c r="I1019" s="5"/>
      <c r="J1019" s="5"/>
    </row>
    <row r="1020" spans="1:239" customHeight="1" ht="13.2">
      <c r="G1020" s="5"/>
      <c r="H1020" s="5"/>
      <c r="I1020" s="5"/>
      <c r="J1020" s="5"/>
    </row>
    <row r="1021" spans="1:239" customHeight="1" ht="13.2">
      <c r="G1021" s="5"/>
      <c r="H1021" s="5"/>
      <c r="I1021" s="5"/>
      <c r="J1021" s="5"/>
    </row>
    <row r="1022" spans="1:239" customHeight="1" ht="13.2">
      <c r="G1022" s="5"/>
      <c r="H1022" s="5"/>
      <c r="I1022" s="5"/>
      <c r="J1022" s="5"/>
    </row>
    <row r="1023" spans="1:239" customHeight="1" ht="13.2">
      <c r="G1023" s="5"/>
      <c r="H1023" s="5"/>
      <c r="I1023" s="5"/>
      <c r="J1023" s="5"/>
    </row>
    <row r="1024" spans="1:239" customHeight="1" ht="13.2">
      <c r="G1024" s="5"/>
      <c r="H1024" s="5"/>
      <c r="I1024" s="5"/>
      <c r="J1024" s="5"/>
    </row>
    <row r="1025" spans="1:239" customHeight="1" ht="13.2">
      <c r="G1025" s="5"/>
      <c r="H1025" s="5"/>
      <c r="I1025" s="5"/>
      <c r="J1025" s="5"/>
    </row>
    <row r="1026" spans="1:239" customHeight="1" ht="13.2">
      <c r="G1026" s="5"/>
      <c r="H1026" s="5"/>
      <c r="I1026" s="5"/>
      <c r="J1026" s="5"/>
    </row>
    <row r="1027" spans="1:239" customHeight="1" ht="13.2">
      <c r="G1027" s="5"/>
      <c r="H1027" s="5"/>
      <c r="I1027" s="5"/>
      <c r="J1027" s="5"/>
    </row>
    <row r="1028" spans="1:239" customHeight="1" ht="13.2">
      <c r="G1028" s="5"/>
      <c r="H1028" s="5"/>
      <c r="I1028" s="5"/>
      <c r="J1028" s="5"/>
    </row>
    <row r="1029" spans="1:239" customHeight="1" ht="13.2">
      <c r="G1029" s="5"/>
      <c r="H1029" s="5"/>
      <c r="I1029" s="5"/>
      <c r="J1029" s="5"/>
    </row>
    <row r="1030" spans="1:239" customHeight="1" ht="13.2">
      <c r="G1030" s="5"/>
      <c r="H1030" s="5"/>
      <c r="I1030" s="5"/>
      <c r="J1030" s="5"/>
    </row>
    <row r="1031" spans="1:239" customHeight="1" ht="13.2">
      <c r="G1031" s="5"/>
      <c r="H1031" s="5"/>
      <c r="I1031" s="5"/>
      <c r="J1031" s="5"/>
    </row>
    <row r="1032" spans="1:239" customHeight="1" ht="13.2">
      <c r="G1032" s="5"/>
      <c r="H1032" s="5"/>
      <c r="I1032" s="5"/>
      <c r="J1032" s="5"/>
    </row>
    <row r="1033" spans="1:239" customHeight="1" ht="13.2">
      <c r="G1033" s="5"/>
      <c r="H1033" s="5"/>
      <c r="I1033" s="5"/>
      <c r="J1033" s="5"/>
    </row>
    <row r="1034" spans="1:239" customHeight="1" ht="13.2">
      <c r="G1034" s="5"/>
      <c r="H1034" s="5"/>
      <c r="I1034" s="5"/>
      <c r="J1034" s="5"/>
    </row>
    <row r="1035" spans="1:239" customHeight="1" ht="13.2">
      <c r="G1035" s="5"/>
      <c r="H1035" s="5"/>
      <c r="I1035" s="5"/>
      <c r="J1035" s="5"/>
    </row>
    <row r="1036" spans="1:239" customHeight="1" ht="13.2">
      <c r="G1036" s="5"/>
      <c r="H1036" s="5"/>
      <c r="I1036" s="5"/>
      <c r="J1036" s="5"/>
    </row>
    <row r="1037" spans="1:239" customHeight="1" ht="13.2">
      <c r="G1037" s="5"/>
      <c r="H1037" s="5"/>
      <c r="I1037" s="5"/>
      <c r="J1037" s="5"/>
    </row>
    <row r="1038" spans="1:239" customHeight="1" ht="13.2">
      <c r="G1038" s="5"/>
      <c r="H1038" s="5"/>
      <c r="I1038" s="5"/>
      <c r="J1038" s="5"/>
    </row>
    <row r="1039" spans="1:239" customHeight="1" ht="13.2">
      <c r="G1039" s="5"/>
      <c r="H1039" s="5"/>
      <c r="I1039" s="5"/>
      <c r="J1039" s="5"/>
    </row>
    <row r="1040" spans="1:239" customHeight="1" ht="13.2">
      <c r="G1040" s="5"/>
      <c r="H1040" s="5"/>
      <c r="I1040" s="5"/>
      <c r="J1040" s="5"/>
    </row>
    <row r="1041" spans="1:239" customHeight="1" ht="13.2">
      <c r="G1041" s="5"/>
      <c r="H1041" s="5"/>
      <c r="I1041" s="5"/>
      <c r="J1041" s="5"/>
    </row>
    <row r="1042" spans="1:239" customHeight="1" ht="13.2">
      <c r="G1042" s="5"/>
      <c r="H1042" s="5"/>
      <c r="I1042" s="5"/>
      <c r="J1042" s="5"/>
    </row>
    <row r="1043" spans="1:239" customHeight="1" ht="13.2">
      <c r="G1043" s="5"/>
      <c r="H1043" s="5"/>
      <c r="I1043" s="5"/>
      <c r="J1043" s="5"/>
    </row>
    <row r="1044" spans="1:239" customHeight="1" ht="13.2">
      <c r="G1044" s="5"/>
      <c r="H1044" s="5"/>
      <c r="I1044" s="5"/>
      <c r="J1044" s="5"/>
    </row>
    <row r="1045" spans="1:239" customHeight="1" ht="13.2">
      <c r="G1045" s="5"/>
      <c r="H1045" s="5"/>
      <c r="I1045" s="5"/>
      <c r="J1045" s="5"/>
    </row>
    <row r="1046" spans="1:239" customHeight="1" ht="13.2">
      <c r="G1046" s="5"/>
      <c r="H1046" s="5"/>
      <c r="I1046" s="5"/>
      <c r="J1046" s="5"/>
    </row>
    <row r="1047" spans="1:239" customHeight="1" ht="13.2">
      <c r="G1047" s="5"/>
      <c r="H1047" s="5"/>
      <c r="I1047" s="5"/>
      <c r="J1047" s="5"/>
    </row>
    <row r="1048" spans="1:239" customHeight="1" ht="13.2">
      <c r="G1048" s="5"/>
      <c r="H1048" s="5"/>
      <c r="I1048" s="5"/>
      <c r="J1048" s="5"/>
    </row>
    <row r="1049" spans="1:239" customHeight="1" ht="13.2">
      <c r="G1049" s="5"/>
      <c r="H1049" s="5"/>
      <c r="I1049" s="5"/>
      <c r="J1049" s="5"/>
    </row>
    <row r="1050" spans="1:239" customHeight="1" ht="13.2">
      <c r="G1050" s="5"/>
      <c r="H1050" s="5"/>
      <c r="I1050" s="5"/>
      <c r="J1050" s="5"/>
    </row>
    <row r="1051" spans="1:239" customHeight="1" ht="13.2">
      <c r="G1051" s="5"/>
      <c r="H1051" s="5"/>
      <c r="I1051" s="5"/>
      <c r="J1051" s="5"/>
    </row>
    <row r="1052" spans="1:239" customHeight="1" ht="13.2">
      <c r="G1052" s="5"/>
      <c r="H1052" s="5"/>
      <c r="I1052" s="5"/>
      <c r="J1052" s="5"/>
    </row>
    <row r="1053" spans="1:239" customHeight="1" ht="13.2">
      <c r="G1053" s="5"/>
      <c r="H1053" s="5"/>
      <c r="I1053" s="5"/>
      <c r="J1053" s="5"/>
    </row>
    <row r="1054" spans="1:239" customHeight="1" ht="13.2">
      <c r="G1054" s="5"/>
      <c r="H1054" s="5"/>
      <c r="I1054" s="5"/>
      <c r="J1054" s="5"/>
    </row>
    <row r="1055" spans="1:239" customHeight="1" ht="13.2">
      <c r="G1055" s="5"/>
      <c r="H1055" s="5"/>
      <c r="I1055" s="5"/>
      <c r="J1055" s="5"/>
    </row>
    <row r="1056" spans="1:239" customHeight="1" ht="13.2">
      <c r="G1056" s="5"/>
      <c r="H1056" s="5"/>
      <c r="I1056" s="5"/>
      <c r="J1056" s="5"/>
    </row>
    <row r="1057" spans="1:239" customHeight="1" ht="13.2">
      <c r="G1057" s="5"/>
      <c r="H1057" s="5"/>
      <c r="I1057" s="5"/>
      <c r="J1057" s="5"/>
    </row>
    <row r="1058" spans="1:239" customHeight="1" ht="13.2">
      <c r="G1058" s="5"/>
      <c r="H1058" s="5"/>
      <c r="I1058" s="5"/>
      <c r="J1058" s="5"/>
    </row>
    <row r="1059" spans="1:239" customHeight="1" ht="13.2">
      <c r="G1059" s="5"/>
      <c r="H1059" s="5"/>
      <c r="I1059" s="5"/>
      <c r="J1059" s="5"/>
    </row>
    <row r="1060" spans="1:239" customHeight="1" ht="13.2">
      <c r="G1060" s="5"/>
      <c r="H1060" s="5"/>
      <c r="I1060" s="5"/>
      <c r="J1060" s="5"/>
    </row>
    <row r="1061" spans="1:239" customHeight="1" ht="13.2">
      <c r="G1061" s="5"/>
      <c r="H1061" s="5"/>
      <c r="I1061" s="5"/>
      <c r="J1061" s="5"/>
    </row>
    <row r="1062" spans="1:239" customHeight="1" ht="13.2">
      <c r="G1062" s="5"/>
      <c r="H1062" s="5"/>
      <c r="I1062" s="5"/>
      <c r="J1062" s="5"/>
    </row>
    <row r="1063" spans="1:239" customHeight="1" ht="13.2">
      <c r="G1063" s="5"/>
      <c r="H1063" s="5"/>
      <c r="I1063" s="5"/>
      <c r="J1063" s="5"/>
    </row>
    <row r="1064" spans="1:239" customHeight="1" ht="13.2">
      <c r="G1064" s="5"/>
      <c r="H1064" s="5"/>
      <c r="I1064" s="5"/>
      <c r="J1064" s="5"/>
    </row>
    <row r="1065" spans="1:239" customHeight="1" ht="13.2">
      <c r="G1065" s="5"/>
      <c r="H1065" s="5"/>
      <c r="I1065" s="5"/>
      <c r="J1065" s="5"/>
    </row>
    <row r="1066" spans="1:239" customHeight="1" ht="13.2">
      <c r="G1066" s="5"/>
      <c r="H1066" s="5"/>
      <c r="I1066" s="5"/>
      <c r="J1066" s="5"/>
    </row>
    <row r="1067" spans="1:239" customHeight="1" ht="13.2">
      <c r="G1067" s="5"/>
      <c r="H1067" s="5"/>
      <c r="I1067" s="5"/>
      <c r="J1067" s="5"/>
    </row>
    <row r="1068" spans="1:239" customHeight="1" ht="13.2">
      <c r="G1068" s="5"/>
      <c r="H1068" s="5"/>
      <c r="I1068" s="5"/>
      <c r="J1068" s="5"/>
    </row>
    <row r="1069" spans="1:239" customHeight="1" ht="13.2">
      <c r="G1069" s="5"/>
      <c r="H1069" s="5"/>
      <c r="I1069" s="5"/>
      <c r="J1069" s="5"/>
    </row>
    <row r="1070" spans="1:239" customHeight="1" ht="13.2">
      <c r="G1070" s="5"/>
      <c r="H1070" s="5"/>
      <c r="I1070" s="5"/>
      <c r="J1070" s="5"/>
    </row>
    <row r="1071" spans="1:239" customHeight="1" ht="13.2">
      <c r="G1071" s="5"/>
      <c r="H1071" s="5"/>
      <c r="I1071" s="5"/>
      <c r="J1071" s="5"/>
    </row>
    <row r="1072" spans="1:239" customHeight="1" ht="13.2">
      <c r="G1072" s="5"/>
      <c r="H1072" s="5"/>
      <c r="I1072" s="5"/>
      <c r="J1072" s="5"/>
    </row>
    <row r="1073" spans="1:239" customHeight="1" ht="13.2">
      <c r="G1073" s="5"/>
      <c r="H1073" s="5"/>
      <c r="I1073" s="5"/>
      <c r="J1073" s="5"/>
    </row>
    <row r="1074" spans="1:239" customHeight="1" ht="13.2">
      <c r="G1074" s="5"/>
      <c r="H1074" s="5"/>
      <c r="I1074" s="5"/>
      <c r="J1074" s="5"/>
    </row>
    <row r="1075" spans="1:239" customHeight="1" ht="13.2">
      <c r="G1075" s="5"/>
      <c r="H1075" s="5"/>
      <c r="I1075" s="5"/>
      <c r="J1075" s="5"/>
    </row>
    <row r="1076" spans="1:239" customHeight="1" ht="13.2">
      <c r="G1076" s="5"/>
      <c r="H1076" s="5"/>
      <c r="I1076" s="5"/>
      <c r="J1076" s="5"/>
    </row>
    <row r="1077" spans="1:239" customHeight="1" ht="13.2">
      <c r="G1077" s="5"/>
      <c r="H1077" s="5"/>
      <c r="I1077" s="5"/>
      <c r="J1077" s="5"/>
    </row>
    <row r="1078" spans="1:239" customHeight="1" ht="13.2">
      <c r="G1078" s="5"/>
      <c r="H1078" s="5"/>
      <c r="I1078" s="5"/>
      <c r="J1078" s="5"/>
    </row>
    <row r="1079" spans="1:239" customHeight="1" ht="13.2">
      <c r="G1079" s="5"/>
      <c r="H1079" s="5"/>
      <c r="I1079" s="5"/>
      <c r="J1079" s="5"/>
    </row>
    <row r="1080" spans="1:239" customHeight="1" ht="13.2">
      <c r="G1080" s="5"/>
      <c r="H1080" s="5"/>
      <c r="I1080" s="5"/>
      <c r="J1080" s="5"/>
    </row>
    <row r="1081" spans="1:239" customHeight="1" ht="13.2">
      <c r="G1081" s="5"/>
      <c r="H1081" s="5"/>
      <c r="I1081" s="5"/>
      <c r="J1081" s="5"/>
    </row>
    <row r="1082" spans="1:239" customHeight="1" ht="13.2">
      <c r="G1082" s="5"/>
      <c r="H1082" s="5"/>
      <c r="I1082" s="5"/>
      <c r="J1082" s="5"/>
    </row>
    <row r="1083" spans="1:239" customHeight="1" ht="13.2">
      <c r="G1083" s="5"/>
      <c r="H1083" s="5"/>
      <c r="I1083" s="5"/>
      <c r="J1083" s="5"/>
    </row>
    <row r="1084" spans="1:239" customHeight="1" ht="13.2">
      <c r="G1084" s="5"/>
      <c r="H1084" s="5"/>
      <c r="I1084" s="5"/>
      <c r="J1084" s="5"/>
    </row>
    <row r="1085" spans="1:239" customHeight="1" ht="13.2">
      <c r="G1085" s="5"/>
      <c r="H1085" s="5"/>
      <c r="I1085" s="5"/>
      <c r="J1085" s="5"/>
    </row>
    <row r="1086" spans="1:239" customHeight="1" ht="13.2">
      <c r="G1086" s="5"/>
      <c r="H1086" s="5"/>
      <c r="I1086" s="5"/>
      <c r="J1086" s="5"/>
    </row>
    <row r="1087" spans="1:239" customHeight="1" ht="13.2">
      <c r="G1087" s="5"/>
      <c r="H1087" s="5"/>
      <c r="I1087" s="5"/>
      <c r="J1087" s="5"/>
    </row>
    <row r="1088" spans="1:239" customHeight="1" ht="13.2">
      <c r="G1088" s="5"/>
      <c r="H1088" s="5"/>
      <c r="I1088" s="5"/>
      <c r="J1088" s="5"/>
    </row>
    <row r="1089" spans="1:239" customHeight="1" ht="13.2">
      <c r="G1089" s="5"/>
      <c r="H1089" s="5"/>
      <c r="I1089" s="5"/>
      <c r="J1089" s="5"/>
    </row>
    <row r="1090" spans="1:239" customHeight="1" ht="13.2">
      <c r="G1090" s="5"/>
      <c r="H1090" s="5"/>
      <c r="I1090" s="5"/>
      <c r="J1090" s="5"/>
    </row>
    <row r="1091" spans="1:239" customHeight="1" ht="13.2">
      <c r="G1091" s="5"/>
      <c r="H1091" s="5"/>
      <c r="I1091" s="5"/>
      <c r="J1091" s="5"/>
    </row>
    <row r="1092" spans="1:239" customHeight="1" ht="13.2">
      <c r="G1092" s="5"/>
      <c r="H1092" s="5"/>
      <c r="I1092" s="5"/>
      <c r="J1092" s="5"/>
    </row>
    <row r="1093" spans="1:239" customHeight="1" ht="13.2">
      <c r="G1093" s="5"/>
      <c r="H1093" s="5"/>
      <c r="I1093" s="5"/>
      <c r="J1093" s="5"/>
    </row>
    <row r="1094" spans="1:239" customHeight="1" ht="13.2">
      <c r="G1094" s="5"/>
      <c r="H1094" s="5"/>
      <c r="I1094" s="5"/>
      <c r="J1094" s="5"/>
    </row>
    <row r="1095" spans="1:239" customHeight="1" ht="13.2">
      <c r="G1095" s="5"/>
      <c r="H1095" s="5"/>
      <c r="I1095" s="5"/>
      <c r="J1095" s="5"/>
    </row>
    <row r="1096" spans="1:239" customHeight="1" ht="13.2">
      <c r="G1096" s="5"/>
      <c r="H1096" s="5"/>
      <c r="I1096" s="5"/>
      <c r="J1096" s="5"/>
    </row>
    <row r="1097" spans="1:239" customHeight="1" ht="13.2">
      <c r="G1097" s="5"/>
      <c r="H1097" s="5"/>
      <c r="I1097" s="5"/>
      <c r="J1097" s="5"/>
    </row>
    <row r="1098" spans="1:239" customHeight="1" ht="13.2">
      <c r="G1098" s="5"/>
      <c r="H1098" s="5"/>
      <c r="I1098" s="5"/>
      <c r="J1098" s="5"/>
    </row>
    <row r="1099" spans="1:239" customHeight="1" ht="13.2">
      <c r="G1099" s="5"/>
      <c r="H1099" s="5"/>
      <c r="I1099" s="5"/>
      <c r="J1099" s="5"/>
    </row>
    <row r="1100" spans="1:239" customHeight="1" ht="13.2">
      <c r="G1100" s="5"/>
      <c r="H1100" s="5"/>
      <c r="I1100" s="5"/>
      <c r="J1100" s="5"/>
    </row>
    <row r="1101" spans="1:239" customHeight="1" ht="13.2">
      <c r="G1101" s="5"/>
      <c r="H1101" s="5"/>
      <c r="I1101" s="5"/>
      <c r="J1101" s="5"/>
    </row>
    <row r="1102" spans="1:239" customHeight="1" ht="13.2">
      <c r="G1102" s="5"/>
      <c r="H1102" s="5"/>
      <c r="I1102" s="5"/>
      <c r="J1102" s="5"/>
    </row>
    <row r="1103" spans="1:239" customHeight="1" ht="13.2">
      <c r="G1103" s="5"/>
      <c r="H1103" s="5"/>
      <c r="I1103" s="5"/>
      <c r="J1103" s="5"/>
    </row>
    <row r="1104" spans="1:239" customHeight="1" ht="13.2">
      <c r="G1104" s="5"/>
      <c r="H1104" s="5"/>
      <c r="I1104" s="5"/>
      <c r="J1104" s="5"/>
    </row>
    <row r="1105" spans="1:239" customHeight="1" ht="13.2">
      <c r="G1105" s="5"/>
      <c r="H1105" s="5"/>
      <c r="I1105" s="5"/>
      <c r="J1105" s="5"/>
    </row>
    <row r="1106" spans="1:239" customHeight="1" ht="13.2">
      <c r="G1106" s="5"/>
      <c r="H1106" s="5"/>
      <c r="I1106" s="5"/>
      <c r="J1106" s="5"/>
    </row>
    <row r="1107" spans="1:239" customHeight="1" ht="13.2">
      <c r="G1107" s="5"/>
      <c r="H1107" s="5"/>
      <c r="I1107" s="5"/>
      <c r="J1107" s="5"/>
    </row>
    <row r="1108" spans="1:239" customHeight="1" ht="13.2">
      <c r="G1108" s="5"/>
      <c r="H1108" s="5"/>
      <c r="I1108" s="5"/>
      <c r="J1108" s="5"/>
    </row>
    <row r="1109" spans="1:239" customHeight="1" ht="13.2">
      <c r="G1109" s="5"/>
      <c r="H1109" s="5"/>
      <c r="I1109" s="5"/>
      <c r="J1109" s="5"/>
    </row>
    <row r="1110" spans="1:239" customHeight="1" ht="13.2">
      <c r="G1110" s="5"/>
      <c r="H1110" s="5"/>
      <c r="I1110" s="5"/>
      <c r="J1110" s="5"/>
    </row>
    <row r="1111" spans="1:239" customHeight="1" ht="13.2">
      <c r="G1111" s="5"/>
      <c r="H1111" s="5"/>
      <c r="I1111" s="5"/>
      <c r="J1111" s="5"/>
    </row>
    <row r="1112" spans="1:239" customHeight="1" ht="13.2">
      <c r="G1112" s="5"/>
      <c r="H1112" s="5"/>
      <c r="I1112" s="5"/>
      <c r="J1112" s="5"/>
    </row>
    <row r="1113" spans="1:239" customHeight="1" ht="13.2">
      <c r="G1113" s="5"/>
      <c r="H1113" s="5"/>
      <c r="I1113" s="5"/>
      <c r="J1113" s="5"/>
    </row>
    <row r="1114" spans="1:239" customHeight="1" ht="13.2">
      <c r="G1114" s="5"/>
      <c r="H1114" s="5"/>
      <c r="I1114" s="5"/>
      <c r="J1114" s="5"/>
    </row>
    <row r="1115" spans="1:239" customHeight="1" ht="13.2">
      <c r="G1115" s="5"/>
      <c r="H1115" s="5"/>
      <c r="I1115" s="5"/>
      <c r="J1115" s="5"/>
    </row>
    <row r="1116" spans="1:239" customHeight="1" ht="13.2">
      <c r="G1116" s="5"/>
      <c r="H1116" s="5"/>
      <c r="I1116" s="5"/>
      <c r="J1116" s="5"/>
    </row>
    <row r="1117" spans="1:239" customHeight="1" ht="13.2">
      <c r="G1117" s="5"/>
      <c r="H1117" s="5"/>
      <c r="I1117" s="5"/>
      <c r="J1117" s="5"/>
    </row>
    <row r="1118" spans="1:239" customHeight="1" ht="13.2">
      <c r="G1118" s="5"/>
      <c r="H1118" s="5"/>
      <c r="I1118" s="5"/>
      <c r="J1118" s="5"/>
    </row>
    <row r="1119" spans="1:239" customHeight="1" ht="13.2">
      <c r="G1119" s="5"/>
      <c r="H1119" s="5"/>
      <c r="I1119" s="5"/>
      <c r="J1119" s="5"/>
    </row>
    <row r="1120" spans="1:239" customHeight="1" ht="13.2">
      <c r="G1120" s="5"/>
      <c r="H1120" s="5"/>
      <c r="I1120" s="5"/>
      <c r="J1120" s="5"/>
    </row>
    <row r="1121" spans="1:239" customHeight="1" ht="13.2">
      <c r="G1121" s="5"/>
      <c r="H1121" s="5"/>
      <c r="I1121" s="5"/>
      <c r="J1121" s="5"/>
    </row>
    <row r="1122" spans="1:239" customHeight="1" ht="13.2">
      <c r="G1122" s="5"/>
      <c r="H1122" s="5"/>
      <c r="I1122" s="5"/>
      <c r="J1122" s="5"/>
    </row>
    <row r="1123" spans="1:239" customHeight="1" ht="13.2">
      <c r="G1123" s="5"/>
      <c r="H1123" s="5"/>
      <c r="I1123" s="5"/>
      <c r="J1123" s="5"/>
    </row>
    <row r="1124" spans="1:239" customHeight="1" ht="13.2">
      <c r="G1124" s="5"/>
      <c r="H1124" s="5"/>
      <c r="I1124" s="5"/>
      <c r="J1124" s="5"/>
    </row>
    <row r="1125" spans="1:239" customHeight="1" ht="13.2">
      <c r="G1125" s="5"/>
      <c r="H1125" s="5"/>
      <c r="I1125" s="5"/>
      <c r="J1125" s="5"/>
    </row>
    <row r="1126" spans="1:239" customHeight="1" ht="13.2">
      <c r="G1126" s="5"/>
      <c r="H1126" s="5"/>
      <c r="I1126" s="5"/>
      <c r="J1126" s="5"/>
    </row>
    <row r="1127" spans="1:239" customHeight="1" ht="13.2">
      <c r="G1127" s="5"/>
      <c r="H1127" s="5"/>
      <c r="I1127" s="5"/>
      <c r="J1127" s="5"/>
    </row>
    <row r="1128" spans="1:239" customHeight="1" ht="13.2">
      <c r="G1128" s="5"/>
      <c r="H1128" s="5"/>
      <c r="I1128" s="5"/>
      <c r="J1128" s="5"/>
    </row>
    <row r="1129" spans="1:239" customHeight="1" ht="13.2">
      <c r="G1129" s="5"/>
      <c r="H1129" s="5"/>
      <c r="I1129" s="5"/>
      <c r="J1129" s="5"/>
    </row>
    <row r="1130" spans="1:239" customHeight="1" ht="13.2">
      <c r="G1130" s="5"/>
      <c r="H1130" s="5"/>
      <c r="I1130" s="5"/>
      <c r="J1130" s="5"/>
    </row>
    <row r="1131" spans="1:239" customHeight="1" ht="13.2">
      <c r="G1131" s="5"/>
      <c r="H1131" s="5"/>
      <c r="I1131" s="5"/>
      <c r="J1131" s="5"/>
    </row>
    <row r="1132" spans="1:239" customHeight="1" ht="13.2">
      <c r="G1132" s="5"/>
      <c r="H1132" s="5"/>
      <c r="I1132" s="5"/>
      <c r="J1132" s="5"/>
    </row>
    <row r="1133" spans="1:239" customHeight="1" ht="13.2">
      <c r="G1133" s="5"/>
      <c r="H1133" s="5"/>
      <c r="I1133" s="5"/>
      <c r="J1133" s="5"/>
    </row>
    <row r="1134" spans="1:239" customHeight="1" ht="13.2">
      <c r="G1134" s="5"/>
      <c r="H1134" s="5"/>
      <c r="I1134" s="5"/>
      <c r="J1134" s="5"/>
    </row>
    <row r="1135" spans="1:239" customHeight="1" ht="13.2">
      <c r="G1135" s="5"/>
      <c r="H1135" s="5"/>
      <c r="I1135" s="5"/>
      <c r="J1135" s="5"/>
    </row>
    <row r="1136" spans="1:239" customHeight="1" ht="13.2">
      <c r="G1136" s="5"/>
      <c r="H1136" s="5"/>
      <c r="I1136" s="5"/>
      <c r="J1136" s="5"/>
    </row>
    <row r="1137" spans="1:239" customHeight="1" ht="13.2">
      <c r="G1137" s="5"/>
      <c r="H1137" s="5"/>
      <c r="I1137" s="5"/>
      <c r="J1137" s="5"/>
    </row>
    <row r="1138" spans="1:239" customHeight="1" ht="13.2">
      <c r="G1138" s="5"/>
      <c r="H1138" s="5"/>
      <c r="I1138" s="5"/>
      <c r="J1138" s="5"/>
    </row>
    <row r="1139" spans="1:239" customHeight="1" ht="13.2">
      <c r="G1139" s="5"/>
      <c r="H1139" s="5"/>
      <c r="I1139" s="5"/>
      <c r="J1139" s="5"/>
    </row>
    <row r="1140" spans="1:239" customHeight="1" ht="13.2">
      <c r="G1140" s="5"/>
      <c r="H1140" s="5"/>
      <c r="I1140" s="5"/>
      <c r="J1140" s="5"/>
    </row>
    <row r="1141" spans="1:239" customHeight="1" ht="13.2">
      <c r="G1141" s="5"/>
      <c r="H1141" s="5"/>
      <c r="I1141" s="5"/>
      <c r="J1141" s="5"/>
    </row>
    <row r="1142" spans="1:239" customHeight="1" ht="13.2">
      <c r="G1142" s="5"/>
      <c r="H1142" s="5"/>
      <c r="I1142" s="5"/>
      <c r="J1142" s="5"/>
    </row>
    <row r="1143" spans="1:239" customHeight="1" ht="13.2">
      <c r="G1143" s="5"/>
      <c r="H1143" s="5"/>
      <c r="I1143" s="5"/>
      <c r="J1143" s="5"/>
    </row>
    <row r="1144" spans="1:239" customHeight="1" ht="13.2">
      <c r="G1144" s="5"/>
      <c r="H1144" s="5"/>
      <c r="I1144" s="5"/>
      <c r="J1144" s="5"/>
    </row>
    <row r="1145" spans="1:239" customHeight="1" ht="13.2">
      <c r="G1145" s="5"/>
      <c r="H1145" s="5"/>
      <c r="I1145" s="5"/>
      <c r="J1145" s="5"/>
    </row>
    <row r="1146" spans="1:239" customHeight="1" ht="13.2">
      <c r="G1146" s="5"/>
      <c r="H1146" s="5"/>
      <c r="I1146" s="5"/>
      <c r="J1146" s="5"/>
    </row>
    <row r="1147" spans="1:239" customHeight="1" ht="13.2">
      <c r="G1147" s="5"/>
      <c r="H1147" s="5"/>
      <c r="I1147" s="5"/>
      <c r="J1147" s="5"/>
    </row>
    <row r="1148" spans="1:239" customHeight="1" ht="13.2">
      <c r="G1148" s="5"/>
      <c r="H1148" s="5"/>
      <c r="I1148" s="5"/>
      <c r="J1148" s="5"/>
    </row>
    <row r="1149" spans="1:239" customHeight="1" ht="13.2">
      <c r="G1149" s="5"/>
      <c r="H1149" s="5"/>
      <c r="I1149" s="5"/>
      <c r="J1149" s="5"/>
    </row>
    <row r="1150" spans="1:239" customHeight="1" ht="13.2">
      <c r="G1150" s="5"/>
      <c r="H1150" s="5"/>
      <c r="I1150" s="5"/>
      <c r="J1150" s="5"/>
    </row>
    <row r="1151" spans="1:239" customHeight="1" ht="13.2">
      <c r="G1151" s="5"/>
      <c r="H1151" s="5"/>
      <c r="I1151" s="5"/>
      <c r="J1151" s="5"/>
    </row>
    <row r="1152" spans="1:239" customHeight="1" ht="13.2">
      <c r="G1152" s="5"/>
      <c r="H1152" s="5"/>
      <c r="I1152" s="5"/>
      <c r="J1152" s="5"/>
    </row>
    <row r="1153" spans="1:239" customHeight="1" ht="13.2">
      <c r="G1153" s="5"/>
      <c r="H1153" s="5"/>
      <c r="I1153" s="5"/>
      <c r="J1153" s="5"/>
    </row>
    <row r="1154" spans="1:239" customHeight="1" ht="13.2">
      <c r="G1154" s="5"/>
      <c r="H1154" s="5"/>
      <c r="I1154" s="5"/>
      <c r="J1154" s="5"/>
    </row>
    <row r="1155" spans="1:239" customHeight="1" ht="13.2">
      <c r="G1155" s="5"/>
      <c r="H1155" s="5"/>
      <c r="I1155" s="5"/>
      <c r="J1155" s="5"/>
    </row>
    <row r="1156" spans="1:239" customHeight="1" ht="13.2">
      <c r="G1156" s="5"/>
      <c r="H1156" s="5"/>
      <c r="I1156" s="5"/>
      <c r="J1156" s="5"/>
    </row>
    <row r="1157" spans="1:239" customHeight="1" ht="13.2">
      <c r="G1157" s="5"/>
      <c r="H1157" s="5"/>
      <c r="I1157" s="5"/>
      <c r="J1157" s="5"/>
    </row>
    <row r="1158" spans="1:239" customHeight="1" ht="13.2">
      <c r="G1158" s="5"/>
      <c r="H1158" s="5"/>
      <c r="I1158" s="5"/>
      <c r="J1158" s="5"/>
    </row>
    <row r="1159" spans="1:239" customHeight="1" ht="13.2">
      <c r="G1159" s="5"/>
      <c r="H1159" s="5"/>
      <c r="I1159" s="5"/>
      <c r="J1159" s="5"/>
    </row>
    <row r="1160" spans="1:239" customHeight="1" ht="13.2">
      <c r="G1160" s="5"/>
      <c r="H1160" s="5"/>
      <c r="I1160" s="5"/>
      <c r="J1160" s="5"/>
    </row>
    <row r="1161" spans="1:239" customHeight="1" ht="13.2">
      <c r="G1161" s="5"/>
      <c r="H1161" s="5"/>
      <c r="I1161" s="5"/>
      <c r="J1161" s="5"/>
    </row>
    <row r="1162" spans="1:239" customHeight="1" ht="13.2">
      <c r="G1162" s="5"/>
      <c r="H1162" s="5"/>
      <c r="I1162" s="5"/>
      <c r="J1162" s="5"/>
    </row>
    <row r="1163" spans="1:239" customHeight="1" ht="13.2">
      <c r="G1163" s="5"/>
      <c r="H1163" s="5"/>
      <c r="I1163" s="5"/>
      <c r="J1163" s="5"/>
    </row>
    <row r="1164" spans="1:239" customHeight="1" ht="13.2">
      <c r="G1164" s="5"/>
      <c r="H1164" s="5"/>
      <c r="I1164" s="5"/>
      <c r="J1164" s="5"/>
    </row>
    <row r="1165" spans="1:239" customHeight="1" ht="13.2">
      <c r="G1165" s="5"/>
      <c r="H1165" s="5"/>
      <c r="I1165" s="5"/>
      <c r="J1165" s="5"/>
    </row>
    <row r="1166" spans="1:239" customHeight="1" ht="13.2">
      <c r="G1166" s="5"/>
      <c r="H1166" s="5"/>
      <c r="I1166" s="5"/>
      <c r="J1166" s="5"/>
    </row>
    <row r="1167" spans="1:239" customHeight="1" ht="13.2">
      <c r="G1167" s="5"/>
      <c r="H1167" s="5"/>
      <c r="I1167" s="5"/>
      <c r="J1167" s="5"/>
    </row>
    <row r="1168" spans="1:239" customHeight="1" ht="13.2">
      <c r="G1168" s="5"/>
      <c r="H1168" s="5"/>
      <c r="I1168" s="5"/>
      <c r="J1168" s="5"/>
    </row>
    <row r="1169" spans="1:239" customHeight="1" ht="13.2">
      <c r="G1169" s="5"/>
      <c r="H1169" s="5"/>
      <c r="I1169" s="5"/>
      <c r="J1169" s="5"/>
    </row>
    <row r="1170" spans="1:239" customHeight="1" ht="13.2">
      <c r="G1170" s="5"/>
      <c r="H1170" s="5"/>
      <c r="I1170" s="5"/>
      <c r="J1170" s="5"/>
    </row>
    <row r="1171" spans="1:239" customHeight="1" ht="13.2">
      <c r="G1171" s="5"/>
      <c r="H1171" s="5"/>
      <c r="I1171" s="5"/>
      <c r="J1171" s="5"/>
    </row>
    <row r="1172" spans="1:239" customHeight="1" ht="13.2">
      <c r="G1172" s="5"/>
      <c r="H1172" s="5"/>
      <c r="I1172" s="5"/>
      <c r="J1172" s="5"/>
    </row>
    <row r="1173" spans="1:239" customHeight="1" ht="13.2">
      <c r="G1173" s="5"/>
      <c r="H1173" s="5"/>
      <c r="I1173" s="5"/>
      <c r="J1173" s="5"/>
    </row>
    <row r="1174" spans="1:239" customHeight="1" ht="13.2">
      <c r="G1174" s="5"/>
      <c r="H1174" s="5"/>
      <c r="I1174" s="5"/>
      <c r="J1174" s="5"/>
    </row>
    <row r="1175" spans="1:239" customHeight="1" ht="13.2">
      <c r="G1175" s="5"/>
      <c r="H1175" s="5"/>
      <c r="I1175" s="5"/>
      <c r="J1175" s="5"/>
    </row>
    <row r="1176" spans="1:239" customHeight="1" ht="13.2">
      <c r="G1176" s="5"/>
      <c r="H1176" s="5"/>
      <c r="I1176" s="5"/>
      <c r="J1176" s="5"/>
    </row>
    <row r="1177" spans="1:239" customHeight="1" ht="13.2">
      <c r="G1177" s="5"/>
      <c r="H1177" s="5"/>
      <c r="I1177" s="5"/>
      <c r="J1177" s="5"/>
    </row>
    <row r="1178" spans="1:239" customHeight="1" ht="13.2">
      <c r="G1178" s="5"/>
      <c r="H1178" s="5"/>
      <c r="I1178" s="5"/>
      <c r="J1178" s="5"/>
    </row>
    <row r="1179" spans="1:239" customHeight="1" ht="13.2">
      <c r="G1179" s="5"/>
      <c r="H1179" s="5"/>
      <c r="I1179" s="5"/>
      <c r="J1179" s="5"/>
    </row>
    <row r="1180" spans="1:239" customHeight="1" ht="13.2">
      <c r="G1180" s="5"/>
      <c r="H1180" s="5"/>
      <c r="I1180" s="5"/>
      <c r="J1180" s="5"/>
    </row>
    <row r="1181" spans="1:239" customHeight="1" ht="13.2">
      <c r="G1181" s="5"/>
      <c r="H1181" s="5"/>
      <c r="I1181" s="5"/>
      <c r="J1181" s="5"/>
    </row>
    <row r="1182" spans="1:239" customHeight="1" ht="13.2">
      <c r="G1182" s="5"/>
      <c r="H1182" s="5"/>
      <c r="I1182" s="5"/>
      <c r="J1182" s="5"/>
    </row>
    <row r="1183" spans="1:239" customHeight="1" ht="13.2">
      <c r="G1183" s="5"/>
      <c r="H1183" s="5"/>
      <c r="I1183" s="5"/>
      <c r="J1183" s="5"/>
    </row>
    <row r="1184" spans="1:239" customHeight="1" ht="13.2">
      <c r="G1184" s="5"/>
      <c r="H1184" s="5"/>
      <c r="I1184" s="5"/>
      <c r="J1184" s="5"/>
    </row>
    <row r="1185" spans="1:239" customHeight="1" ht="13.2">
      <c r="G1185" s="5"/>
      <c r="H1185" s="5"/>
      <c r="I1185" s="5"/>
      <c r="J1185" s="5"/>
    </row>
    <row r="1186" spans="1:239" customHeight="1" ht="13.2">
      <c r="G1186" s="5"/>
      <c r="H1186" s="5"/>
      <c r="I1186" s="5"/>
      <c r="J1186" s="5"/>
    </row>
    <row r="1187" spans="1:239" customHeight="1" ht="13.2">
      <c r="G1187" s="5"/>
      <c r="H1187" s="5"/>
      <c r="I1187" s="5"/>
      <c r="J1187" s="5"/>
    </row>
    <row r="1188" spans="1:239" customHeight="1" ht="13.2">
      <c r="G1188" s="5"/>
      <c r="H1188" s="5"/>
      <c r="I1188" s="5"/>
      <c r="J1188" s="5"/>
    </row>
    <row r="1189" spans="1:239" customHeight="1" ht="13.2">
      <c r="G1189" s="5"/>
      <c r="H1189" s="5"/>
      <c r="I1189" s="5"/>
      <c r="J1189" s="5"/>
    </row>
    <row r="1190" spans="1:239" customHeight="1" ht="13.2">
      <c r="G1190" s="5"/>
      <c r="H1190" s="5"/>
      <c r="I1190" s="5"/>
      <c r="J1190" s="5"/>
    </row>
    <row r="1191" spans="1:239" customHeight="1" ht="13.2">
      <c r="G1191" s="5"/>
      <c r="H1191" s="5"/>
      <c r="I1191" s="5"/>
      <c r="J1191" s="5"/>
    </row>
    <row r="1192" spans="1:239" customHeight="1" ht="13.2">
      <c r="G1192" s="5"/>
      <c r="H1192" s="5"/>
      <c r="I1192" s="5"/>
      <c r="J1192" s="5"/>
    </row>
    <row r="1193" spans="1:239" customHeight="1" ht="13.2">
      <c r="G1193" s="5"/>
      <c r="H1193" s="5"/>
      <c r="I1193" s="5"/>
      <c r="J1193" s="5"/>
    </row>
    <row r="1194" spans="1:239" customHeight="1" ht="13.2">
      <c r="G1194" s="5"/>
      <c r="H1194" s="5"/>
      <c r="I1194" s="5"/>
      <c r="J1194" s="5"/>
    </row>
    <row r="1195" spans="1:239" customHeight="1" ht="13.2">
      <c r="G1195" s="5"/>
      <c r="H1195" s="5"/>
      <c r="I1195" s="5"/>
      <c r="J1195" s="5"/>
    </row>
    <row r="1196" spans="1:239" customHeight="1" ht="13.2">
      <c r="G1196" s="5"/>
      <c r="H1196" s="5"/>
      <c r="I1196" s="5"/>
      <c r="J1196" s="5"/>
    </row>
    <row r="1197" spans="1:239" customHeight="1" ht="13.2">
      <c r="G1197" s="5"/>
      <c r="H1197" s="5"/>
      <c r="I1197" s="5"/>
      <c r="J1197" s="5"/>
    </row>
    <row r="1198" spans="1:239" customHeight="1" ht="13.2">
      <c r="G1198" s="5"/>
      <c r="H1198" s="5"/>
      <c r="I1198" s="5"/>
      <c r="J1198" s="5"/>
    </row>
    <row r="1199" spans="1:239" customHeight="1" ht="13.2">
      <c r="G1199" s="5"/>
      <c r="H1199" s="5"/>
      <c r="I1199" s="5"/>
      <c r="J1199" s="5"/>
    </row>
    <row r="1200" spans="1:239" customHeight="1" ht="13.2">
      <c r="G1200" s="5"/>
      <c r="H1200" s="5"/>
      <c r="I1200" s="5"/>
      <c r="J1200" s="5"/>
    </row>
    <row r="1201" spans="1:239" customHeight="1" ht="13.2">
      <c r="G1201" s="5"/>
      <c r="H1201" s="5"/>
      <c r="I1201" s="5"/>
      <c r="J1201" s="5"/>
    </row>
    <row r="1202" spans="1:239" customHeight="1" ht="13.2">
      <c r="G1202" s="5"/>
      <c r="H1202" s="5"/>
      <c r="I1202" s="5"/>
      <c r="J1202" s="5"/>
    </row>
    <row r="1203" spans="1:239" customHeight="1" ht="13.2">
      <c r="G1203" s="5"/>
      <c r="H1203" s="5"/>
      <c r="I1203" s="5"/>
      <c r="J1203" s="5"/>
    </row>
    <row r="1204" spans="1:239" customHeight="1" ht="13.2">
      <c r="G1204" s="5"/>
      <c r="H1204" s="5"/>
      <c r="I1204" s="5"/>
      <c r="J1204" s="5"/>
    </row>
    <row r="1205" spans="1:239" customHeight="1" ht="13.2">
      <c r="G1205" s="5"/>
      <c r="H1205" s="5"/>
      <c r="I1205" s="5"/>
      <c r="J1205" s="5"/>
    </row>
    <row r="1206" spans="1:239" customHeight="1" ht="13.2">
      <c r="G1206" s="5"/>
      <c r="H1206" s="5"/>
      <c r="I1206" s="5"/>
      <c r="J1206" s="5"/>
    </row>
    <row r="1207" spans="1:239" customHeight="1" ht="13.2">
      <c r="G1207" s="5"/>
      <c r="H1207" s="5"/>
      <c r="I1207" s="5"/>
      <c r="J1207" s="5"/>
    </row>
    <row r="1208" spans="1:239" customHeight="1" ht="13.2">
      <c r="G1208" s="5"/>
      <c r="H1208" s="5"/>
      <c r="I1208" s="5"/>
      <c r="J1208" s="5"/>
    </row>
    <row r="1209" spans="1:239" customHeight="1" ht="13.2">
      <c r="G1209" s="5"/>
      <c r="H1209" s="5"/>
      <c r="I1209" s="5"/>
      <c r="J1209" s="5"/>
    </row>
    <row r="1210" spans="1:239" customHeight="1" ht="13.2">
      <c r="G1210" s="5"/>
      <c r="H1210" s="5"/>
      <c r="I1210" s="5"/>
      <c r="J1210" s="5"/>
    </row>
    <row r="1211" spans="1:239" customHeight="1" ht="13.2">
      <c r="G1211" s="5"/>
      <c r="H1211" s="5"/>
      <c r="I1211" s="5"/>
      <c r="J1211" s="5"/>
    </row>
    <row r="1212" spans="1:239" customHeight="1" ht="13.2">
      <c r="G1212" s="5"/>
      <c r="H1212" s="5"/>
      <c r="I1212" s="5"/>
      <c r="J1212" s="5"/>
    </row>
    <row r="1213" spans="1:239" customHeight="1" ht="13.2">
      <c r="G1213" s="5"/>
      <c r="H1213" s="5"/>
      <c r="I1213" s="5"/>
      <c r="J1213" s="5"/>
    </row>
    <row r="1214" spans="1:239" customHeight="1" ht="13.2">
      <c r="G1214" s="5"/>
      <c r="H1214" s="5"/>
      <c r="I1214" s="5"/>
      <c r="J1214" s="5"/>
    </row>
    <row r="1215" spans="1:239" customHeight="1" ht="13.2">
      <c r="G1215" s="5"/>
      <c r="H1215" s="5"/>
      <c r="I1215" s="5"/>
      <c r="J1215" s="5"/>
    </row>
    <row r="1216" spans="1:239" customHeight="1" ht="13.2">
      <c r="G1216" s="5"/>
      <c r="H1216" s="5"/>
      <c r="I1216" s="5"/>
      <c r="J1216" s="5"/>
    </row>
    <row r="1217" spans="1:239" customHeight="1" ht="13.2">
      <c r="G1217" s="5"/>
      <c r="H1217" s="5"/>
      <c r="I1217" s="5"/>
      <c r="J1217" s="5"/>
    </row>
    <row r="1218" spans="1:239" customHeight="1" ht="13.2">
      <c r="G1218" s="5"/>
      <c r="H1218" s="5"/>
      <c r="I1218" s="5"/>
      <c r="J1218" s="5"/>
    </row>
    <row r="1219" spans="1:239" customHeight="1" ht="13.2">
      <c r="G1219" s="5"/>
      <c r="H1219" s="5"/>
      <c r="I1219" s="5"/>
      <c r="J1219" s="5"/>
    </row>
    <row r="1220" spans="1:239" customHeight="1" ht="13.2">
      <c r="G1220" s="5"/>
      <c r="H1220" s="5"/>
      <c r="I1220" s="5"/>
      <c r="J1220" s="5"/>
    </row>
    <row r="1221" spans="1:239" customHeight="1" ht="13.2">
      <c r="G1221" s="5"/>
      <c r="H1221" s="5"/>
      <c r="I1221" s="5"/>
      <c r="J1221" s="5"/>
    </row>
    <row r="1222" spans="1:239" customHeight="1" ht="13.2">
      <c r="G1222" s="5"/>
      <c r="H1222" s="5"/>
      <c r="I1222" s="5"/>
      <c r="J1222" s="5"/>
    </row>
    <row r="1223" spans="1:239" customHeight="1" ht="13.2">
      <c r="G1223" s="5"/>
      <c r="H1223" s="5"/>
      <c r="I1223" s="5"/>
      <c r="J1223" s="5"/>
    </row>
    <row r="1224" spans="1:239" customHeight="1" ht="13.2">
      <c r="G1224" s="5"/>
      <c r="H1224" s="5"/>
      <c r="I1224" s="5"/>
      <c r="J1224" s="5"/>
    </row>
    <row r="1225" spans="1:239" customHeight="1" ht="13.2">
      <c r="G1225" s="5"/>
      <c r="H1225" s="5"/>
      <c r="I1225" s="5"/>
      <c r="J1225" s="5"/>
    </row>
    <row r="1226" spans="1:239" customHeight="1" ht="13.2">
      <c r="G1226" s="5"/>
      <c r="H1226" s="5"/>
      <c r="I1226" s="5"/>
      <c r="J1226" s="5"/>
    </row>
    <row r="1227" spans="1:239" customHeight="1" ht="13.2">
      <c r="G1227" s="5"/>
      <c r="H1227" s="5"/>
      <c r="I1227" s="5"/>
      <c r="J1227" s="5"/>
    </row>
    <row r="1228" spans="1:239" customHeight="1" ht="13.2">
      <c r="G1228" s="5"/>
      <c r="H1228" s="5"/>
      <c r="I1228" s="5"/>
      <c r="J1228" s="5"/>
    </row>
    <row r="1229" spans="1:239" customHeight="1" ht="13.2">
      <c r="G1229" s="5"/>
      <c r="H1229" s="5"/>
      <c r="I1229" s="5"/>
      <c r="J1229" s="5"/>
    </row>
    <row r="1230" spans="1:239" customHeight="1" ht="13.2">
      <c r="G1230" s="5"/>
      <c r="H1230" s="5"/>
      <c r="I1230" s="5"/>
      <c r="J1230" s="5"/>
    </row>
    <row r="1231" spans="1:239" customHeight="1" ht="13.2">
      <c r="G1231" s="5"/>
      <c r="H1231" s="5"/>
      <c r="I1231" s="5"/>
      <c r="J1231" s="5"/>
    </row>
    <row r="1232" spans="1:239" customHeight="1" ht="13.2">
      <c r="G1232" s="5"/>
      <c r="H1232" s="5"/>
      <c r="I1232" s="5"/>
      <c r="J1232" s="5"/>
    </row>
    <row r="1233" spans="1:239" customHeight="1" ht="13.2">
      <c r="G1233" s="5"/>
      <c r="H1233" s="5"/>
      <c r="I1233" s="5"/>
      <c r="J1233" s="5"/>
    </row>
    <row r="1234" spans="1:239" customHeight="1" ht="13.2">
      <c r="G1234" s="5"/>
      <c r="H1234" s="5"/>
      <c r="I1234" s="5"/>
      <c r="J1234" s="5"/>
    </row>
    <row r="1235" spans="1:239" customHeight="1" ht="13.2">
      <c r="G1235" s="5"/>
      <c r="H1235" s="5"/>
      <c r="I1235" s="5"/>
      <c r="J1235" s="5"/>
    </row>
    <row r="1236" spans="1:239" customHeight="1" ht="13.2">
      <c r="G1236" s="5"/>
      <c r="H1236" s="5"/>
      <c r="I1236" s="5"/>
      <c r="J1236" s="5"/>
    </row>
    <row r="1237" spans="1:239" customHeight="1" ht="13.2">
      <c r="G1237" s="5"/>
      <c r="H1237" s="5"/>
      <c r="I1237" s="5"/>
      <c r="J1237" s="5"/>
    </row>
    <row r="1238" spans="1:239" customHeight="1" ht="13.2">
      <c r="G1238" s="5"/>
      <c r="H1238" s="5"/>
      <c r="I1238" s="5"/>
      <c r="J1238" s="5"/>
    </row>
    <row r="1239" spans="1:239" customHeight="1" ht="13.2">
      <c r="G1239" s="5"/>
      <c r="H1239" s="5"/>
      <c r="I1239" s="5"/>
      <c r="J1239" s="5"/>
    </row>
    <row r="1240" spans="1:239" customHeight="1" ht="13.2">
      <c r="G1240" s="5"/>
      <c r="H1240" s="5"/>
      <c r="I1240" s="5"/>
      <c r="J1240" s="5"/>
    </row>
    <row r="1241" spans="1:239" customHeight="1" ht="13.2">
      <c r="G1241" s="5"/>
      <c r="H1241" s="5"/>
      <c r="I1241" s="5"/>
      <c r="J1241" s="5"/>
    </row>
    <row r="1242" spans="1:239" customHeight="1" ht="13.2">
      <c r="G1242" s="5"/>
      <c r="H1242" s="5"/>
      <c r="I1242" s="5"/>
      <c r="J1242" s="5"/>
    </row>
    <row r="1243" spans="1:239" customHeight="1" ht="13.2">
      <c r="G1243" s="5"/>
      <c r="H1243" s="5"/>
      <c r="I1243" s="5"/>
      <c r="J1243" s="5"/>
    </row>
    <row r="1244" spans="1:239" customHeight="1" ht="13.2">
      <c r="G1244" s="5"/>
      <c r="H1244" s="5"/>
      <c r="I1244" s="5"/>
      <c r="J1244" s="5"/>
    </row>
    <row r="1245" spans="1:239" customHeight="1" ht="13.2">
      <c r="G1245" s="5"/>
      <c r="H1245" s="5"/>
      <c r="I1245" s="5"/>
      <c r="J1245" s="5"/>
    </row>
    <row r="1246" spans="1:239" customHeight="1" ht="13.2">
      <c r="G1246" s="5"/>
      <c r="H1246" s="5"/>
      <c r="I1246" s="5"/>
      <c r="J1246" s="5"/>
    </row>
    <row r="1247" spans="1:239" customHeight="1" ht="13.2">
      <c r="G1247" s="5"/>
      <c r="H1247" s="5"/>
      <c r="I1247" s="5"/>
      <c r="J1247" s="5"/>
    </row>
    <row r="1248" spans="1:239" customHeight="1" ht="13.2">
      <c r="G1248" s="5"/>
      <c r="H1248" s="5"/>
      <c r="I1248" s="5"/>
      <c r="J1248" s="5"/>
    </row>
    <row r="1249" spans="1:239" customHeight="1" ht="13.2">
      <c r="G1249" s="5"/>
      <c r="H1249" s="5"/>
      <c r="I1249" s="5"/>
      <c r="J1249" s="5"/>
    </row>
    <row r="1250" spans="1:239" customHeight="1" ht="13.2">
      <c r="G1250" s="5"/>
      <c r="H1250" s="5"/>
      <c r="I1250" s="5"/>
      <c r="J1250" s="5"/>
    </row>
    <row r="1251" spans="1:239" customHeight="1" ht="13.2">
      <c r="G1251" s="5"/>
      <c r="H1251" s="5"/>
      <c r="I1251" s="5"/>
      <c r="J1251" s="5"/>
    </row>
    <row r="1252" spans="1:239" customHeight="1" ht="13.2">
      <c r="G1252" s="5"/>
      <c r="H1252" s="5"/>
      <c r="I1252" s="5"/>
      <c r="J1252" s="5"/>
    </row>
    <row r="1253" spans="1:239" customHeight="1" ht="13.2">
      <c r="G1253" s="5"/>
      <c r="H1253" s="5"/>
      <c r="I1253" s="5"/>
      <c r="J1253" s="5"/>
    </row>
    <row r="1254" spans="1:239" customHeight="1" ht="13.2">
      <c r="G1254" s="5"/>
      <c r="H1254" s="5"/>
      <c r="I1254" s="5"/>
      <c r="J1254" s="5"/>
    </row>
    <row r="1255" spans="1:239" customHeight="1" ht="13.2">
      <c r="G1255" s="5"/>
      <c r="H1255" s="5"/>
      <c r="I1255" s="5"/>
      <c r="J1255" s="5"/>
    </row>
    <row r="1256" spans="1:239" customHeight="1" ht="13.2">
      <c r="G1256" s="5"/>
      <c r="H1256" s="5"/>
      <c r="I1256" s="5"/>
      <c r="J1256" s="5"/>
    </row>
    <row r="1257" spans="1:239" customHeight="1" ht="13.2">
      <c r="G1257" s="5"/>
      <c r="H1257" s="5"/>
      <c r="I1257" s="5"/>
      <c r="J1257" s="5"/>
    </row>
    <row r="1258" spans="1:239" customHeight="1" ht="13.2">
      <c r="G1258" s="5"/>
      <c r="H1258" s="5"/>
      <c r="I1258" s="5"/>
      <c r="J1258" s="5"/>
    </row>
    <row r="1259" spans="1:239" customHeight="1" ht="13.2">
      <c r="G1259" s="5"/>
      <c r="H1259" s="5"/>
      <c r="I1259" s="5"/>
      <c r="J1259" s="5"/>
    </row>
    <row r="1260" spans="1:239" customHeight="1" ht="13.2">
      <c r="G1260" s="5"/>
      <c r="H1260" s="5"/>
      <c r="I1260" s="5"/>
      <c r="J1260" s="5"/>
    </row>
    <row r="1261" spans="1:239" customHeight="1" ht="13.2">
      <c r="G1261" s="5"/>
      <c r="H1261" s="5"/>
      <c r="I1261" s="5"/>
      <c r="J1261" s="5"/>
    </row>
    <row r="1262" spans="1:239" customHeight="1" ht="13.2">
      <c r="G1262" s="5"/>
      <c r="H1262" s="5"/>
      <c r="I1262" s="5"/>
      <c r="J1262" s="5"/>
    </row>
    <row r="1263" spans="1:239" customHeight="1" ht="13.2">
      <c r="G1263" s="5"/>
      <c r="H1263" s="5"/>
      <c r="I1263" s="5"/>
      <c r="J1263" s="5"/>
    </row>
    <row r="1264" spans="1:239" customHeight="1" ht="13.2">
      <c r="G1264" s="5"/>
      <c r="H1264" s="5"/>
      <c r="I1264" s="5"/>
      <c r="J1264" s="5"/>
    </row>
    <row r="1265" spans="1:239" customHeight="1" ht="13.2">
      <c r="G1265" s="5"/>
      <c r="H1265" s="5"/>
      <c r="I1265" s="5"/>
      <c r="J1265" s="5"/>
    </row>
    <row r="1266" spans="1:239" customHeight="1" ht="13.2">
      <c r="G1266" s="5"/>
      <c r="H1266" s="5"/>
      <c r="I1266" s="5"/>
      <c r="J1266" s="5"/>
    </row>
    <row r="1267" spans="1:239" customHeight="1" ht="13.2">
      <c r="G1267" s="5"/>
      <c r="H1267" s="5"/>
      <c r="I1267" s="5"/>
      <c r="J1267" s="5"/>
    </row>
    <row r="1268" spans="1:239" customHeight="1" ht="13.2">
      <c r="G1268" s="5"/>
      <c r="H1268" s="5"/>
      <c r="I1268" s="5"/>
      <c r="J1268" s="5"/>
    </row>
    <row r="1269" spans="1:239" customHeight="1" ht="13.2">
      <c r="G1269" s="5"/>
      <c r="H1269" s="5"/>
      <c r="I1269" s="5"/>
      <c r="J1269" s="5"/>
    </row>
    <row r="1270" spans="1:239" customHeight="1" ht="13.2">
      <c r="G1270" s="5"/>
      <c r="H1270" s="5"/>
      <c r="I1270" s="5"/>
      <c r="J1270" s="5"/>
    </row>
    <row r="1271" spans="1:239" customHeight="1" ht="13.2">
      <c r="G1271" s="5"/>
      <c r="H1271" s="5"/>
      <c r="I1271" s="5"/>
      <c r="J1271" s="5"/>
    </row>
    <row r="1272" spans="1:239" customHeight="1" ht="13.2">
      <c r="G1272" s="5"/>
      <c r="H1272" s="5"/>
      <c r="I1272" s="5"/>
      <c r="J1272" s="5"/>
    </row>
    <row r="1273" spans="1:239" customHeight="1" ht="13.2">
      <c r="G1273" s="5"/>
      <c r="H1273" s="5"/>
      <c r="I1273" s="5"/>
      <c r="J1273" s="5"/>
    </row>
    <row r="1274" spans="1:239" customHeight="1" ht="13.2">
      <c r="G1274" s="5"/>
      <c r="H1274" s="5"/>
      <c r="I1274" s="5"/>
      <c r="J1274" s="5"/>
    </row>
    <row r="1275" spans="1:239" customHeight="1" ht="13.2">
      <c r="G1275" s="5"/>
      <c r="H1275" s="5"/>
      <c r="I1275" s="5"/>
      <c r="J1275" s="5"/>
    </row>
    <row r="1276" spans="1:239" customHeight="1" ht="13.2">
      <c r="G1276" s="5"/>
      <c r="H1276" s="5"/>
      <c r="I1276" s="5"/>
      <c r="J1276" s="5"/>
    </row>
    <row r="1277" spans="1:239" customHeight="1" ht="13.2">
      <c r="G1277" s="5"/>
      <c r="H1277" s="5"/>
      <c r="I1277" s="5"/>
      <c r="J1277" s="5"/>
    </row>
    <row r="1278" spans="1:239" customHeight="1" ht="13.2">
      <c r="G1278" s="5"/>
      <c r="H1278" s="5"/>
      <c r="I1278" s="5"/>
      <c r="J1278" s="5"/>
    </row>
    <row r="1279" spans="1:239" customHeight="1" ht="13.2">
      <c r="G1279" s="5"/>
      <c r="H1279" s="5"/>
      <c r="I1279" s="5"/>
      <c r="J1279" s="5"/>
    </row>
    <row r="1280" spans="1:239" customHeight="1" ht="13.2">
      <c r="G1280" s="5"/>
      <c r="H1280" s="5"/>
      <c r="I1280" s="5"/>
      <c r="J1280" s="5"/>
    </row>
    <row r="1281" spans="1:239" customHeight="1" ht="13.2">
      <c r="G1281" s="5"/>
      <c r="H1281" s="5"/>
      <c r="I1281" s="5"/>
      <c r="J1281" s="5"/>
    </row>
    <row r="1282" spans="1:239" customHeight="1" ht="13.2">
      <c r="G1282" s="5"/>
      <c r="H1282" s="5"/>
      <c r="I1282" s="5"/>
      <c r="J1282" s="5"/>
    </row>
    <row r="1283" spans="1:239" customHeight="1" ht="13.2">
      <c r="G1283" s="5"/>
      <c r="H1283" s="5"/>
      <c r="I1283" s="5"/>
      <c r="J1283" s="5"/>
    </row>
    <row r="1284" spans="1:239" customHeight="1" ht="13.2">
      <c r="G1284" s="5"/>
      <c r="H1284" s="5"/>
      <c r="I1284" s="5"/>
      <c r="J1284" s="5"/>
    </row>
    <row r="1285" spans="1:239" customHeight="1" ht="13.2">
      <c r="G1285" s="5"/>
      <c r="H1285" s="5"/>
      <c r="I1285" s="5"/>
      <c r="J1285" s="5"/>
    </row>
    <row r="1286" spans="1:239" customHeight="1" ht="13.2">
      <c r="G1286" s="5"/>
      <c r="H1286" s="5"/>
      <c r="I1286" s="5"/>
      <c r="J1286" s="5"/>
    </row>
    <row r="1287" spans="1:239" customHeight="1" ht="13.2">
      <c r="G1287" s="5"/>
      <c r="H1287" s="5"/>
      <c r="I1287" s="5"/>
      <c r="J1287" s="5"/>
    </row>
    <row r="1288" spans="1:239" customHeight="1" ht="13.2">
      <c r="G1288" s="5"/>
      <c r="H1288" s="5"/>
      <c r="I1288" s="5"/>
      <c r="J1288" s="5"/>
    </row>
    <row r="1289" spans="1:239" customHeight="1" ht="13.2">
      <c r="G1289" s="5"/>
      <c r="H1289" s="5"/>
      <c r="I1289" s="5"/>
      <c r="J1289" s="5"/>
    </row>
    <row r="1290" spans="1:239" customHeight="1" ht="13.2">
      <c r="G1290" s="5"/>
      <c r="H1290" s="5"/>
      <c r="I1290" s="5"/>
      <c r="J1290" s="5"/>
    </row>
    <row r="1291" spans="1:239" customHeight="1" ht="13.2">
      <c r="G1291" s="5"/>
      <c r="H1291" s="5"/>
      <c r="I1291" s="5"/>
      <c r="J1291" s="5"/>
    </row>
    <row r="1292" spans="1:239" customHeight="1" ht="13.2">
      <c r="G1292" s="5"/>
      <c r="H1292" s="5"/>
      <c r="I1292" s="5"/>
      <c r="J1292" s="5"/>
    </row>
    <row r="1293" spans="1:239" customHeight="1" ht="13.2">
      <c r="G1293" s="5"/>
      <c r="H1293" s="5"/>
      <c r="I1293" s="5"/>
      <c r="J1293" s="5"/>
    </row>
    <row r="1294" spans="1:239" customHeight="1" ht="13.2">
      <c r="G1294" s="5"/>
      <c r="H1294" s="5"/>
      <c r="I1294" s="5"/>
      <c r="J1294" s="5"/>
    </row>
    <row r="1295" spans="1:239" customHeight="1" ht="13.2">
      <c r="G1295" s="5"/>
      <c r="H1295" s="5"/>
      <c r="I1295" s="5"/>
      <c r="J1295" s="5"/>
    </row>
    <row r="1296" spans="1:239" customHeight="1" ht="13.2">
      <c r="G1296" s="5"/>
      <c r="H1296" s="5"/>
      <c r="I1296" s="5"/>
      <c r="J1296" s="5"/>
    </row>
    <row r="1297" spans="1:239" customHeight="1" ht="13.2">
      <c r="G1297" s="5"/>
      <c r="H1297" s="5"/>
      <c r="I1297" s="5"/>
      <c r="J1297" s="5"/>
    </row>
    <row r="1298" spans="1:239" customHeight="1" ht="13.2">
      <c r="G1298" s="5"/>
      <c r="H1298" s="5"/>
      <c r="I1298" s="5"/>
      <c r="J1298" s="5"/>
    </row>
    <row r="1299" spans="1:239" customHeight="1" ht="13.2">
      <c r="G1299" s="5"/>
      <c r="H1299" s="5"/>
      <c r="I1299" s="5"/>
      <c r="J1299" s="5"/>
    </row>
    <row r="1300" spans="1:239" customHeight="1" ht="13.2">
      <c r="G1300" s="5"/>
      <c r="H1300" s="5"/>
      <c r="I1300" s="5"/>
      <c r="J1300" s="5"/>
    </row>
    <row r="1301" spans="1:239" customHeight="1" ht="13.2">
      <c r="G1301" s="5"/>
      <c r="H1301" s="5"/>
      <c r="I1301" s="5"/>
      <c r="J1301" s="5"/>
    </row>
    <row r="1302" spans="1:239" customHeight="1" ht="13.2">
      <c r="G1302" s="5"/>
      <c r="H1302" s="5"/>
      <c r="I1302" s="5"/>
      <c r="J1302" s="5"/>
    </row>
    <row r="1303" spans="1:239" customHeight="1" ht="13.2">
      <c r="G1303" s="5"/>
      <c r="H1303" s="5"/>
      <c r="I1303" s="5"/>
      <c r="J1303" s="5"/>
    </row>
    <row r="1304" spans="1:239" customHeight="1" ht="13.2">
      <c r="G1304" s="5"/>
      <c r="H1304" s="5"/>
      <c r="I1304" s="5"/>
      <c r="J1304" s="5"/>
    </row>
    <row r="1305" spans="1:239" customHeight="1" ht="13.2">
      <c r="G1305" s="5"/>
      <c r="H1305" s="5"/>
      <c r="I1305" s="5"/>
      <c r="J1305" s="5"/>
    </row>
    <row r="1306" spans="1:239" customHeight="1" ht="13.2">
      <c r="G1306" s="5"/>
      <c r="H1306" s="5"/>
      <c r="I1306" s="5"/>
      <c r="J1306" s="5"/>
    </row>
    <row r="1307" spans="1:239" customHeight="1" ht="13.2">
      <c r="G1307" s="5"/>
      <c r="H1307" s="5"/>
      <c r="I1307" s="5"/>
      <c r="J1307" s="5"/>
    </row>
    <row r="1308" spans="1:239" customHeight="1" ht="13.2">
      <c r="G1308" s="5"/>
      <c r="H1308" s="5"/>
      <c r="I1308" s="5"/>
      <c r="J1308" s="5"/>
    </row>
    <row r="1309" spans="1:239" customHeight="1" ht="13.2">
      <c r="G1309" s="5"/>
      <c r="H1309" s="5"/>
      <c r="I1309" s="5"/>
      <c r="J1309" s="5"/>
    </row>
    <row r="1310" spans="1:239" customHeight="1" ht="13.2">
      <c r="G1310" s="5"/>
      <c r="H1310" s="5"/>
      <c r="I1310" s="5"/>
      <c r="J1310" s="5"/>
    </row>
    <row r="1311" spans="1:239" customHeight="1" ht="13.2">
      <c r="G1311" s="5"/>
      <c r="H1311" s="5"/>
      <c r="I1311" s="5"/>
      <c r="J1311" s="5"/>
    </row>
    <row r="1312" spans="1:239" customHeight="1" ht="13.2">
      <c r="G1312" s="5"/>
      <c r="H1312" s="5"/>
      <c r="I1312" s="5"/>
      <c r="J1312" s="5"/>
    </row>
    <row r="1313" spans="1:239" customHeight="1" ht="13.2">
      <c r="G1313" s="5"/>
      <c r="H1313" s="5"/>
      <c r="I1313" s="5"/>
      <c r="J1313" s="5"/>
    </row>
    <row r="1314" spans="1:239" customHeight="1" ht="13.2">
      <c r="G1314" s="5"/>
      <c r="H1314" s="5"/>
      <c r="I1314" s="5"/>
      <c r="J1314" s="5"/>
    </row>
    <row r="1315" spans="1:239" customHeight="1" ht="13.2">
      <c r="G1315" s="5"/>
      <c r="H1315" s="5"/>
      <c r="I1315" s="5"/>
      <c r="J1315" s="5"/>
    </row>
    <row r="1316" spans="1:239" customHeight="1" ht="13.2">
      <c r="G1316" s="5"/>
      <c r="H1316" s="5"/>
      <c r="I1316" s="5"/>
      <c r="J1316" s="5"/>
    </row>
    <row r="1317" spans="1:239" customHeight="1" ht="13.2">
      <c r="G1317" s="5"/>
      <c r="H1317" s="5"/>
      <c r="I1317" s="5"/>
      <c r="J1317" s="5"/>
    </row>
    <row r="1318" spans="1:239" customHeight="1" ht="13.2">
      <c r="G1318" s="5"/>
      <c r="H1318" s="5"/>
      <c r="I1318" s="5"/>
      <c r="J1318" s="5"/>
    </row>
    <row r="1319" spans="1:239" customHeight="1" ht="13.2">
      <c r="G1319" s="5"/>
      <c r="H1319" s="5"/>
      <c r="I1319" s="5"/>
      <c r="J1319" s="5"/>
    </row>
    <row r="1320" spans="1:239" customHeight="1" ht="13.2">
      <c r="G1320" s="5"/>
      <c r="H1320" s="5"/>
      <c r="I1320" s="5"/>
      <c r="J1320" s="5"/>
    </row>
    <row r="1321" spans="1:239" customHeight="1" ht="13.2">
      <c r="G1321" s="5"/>
      <c r="H1321" s="5"/>
      <c r="I1321" s="5"/>
      <c r="J1321" s="5"/>
    </row>
    <row r="1322" spans="1:239" customHeight="1" ht="13.2">
      <c r="G1322" s="5"/>
      <c r="H1322" s="5"/>
      <c r="I1322" s="5"/>
      <c r="J1322" s="5"/>
    </row>
    <row r="1323" spans="1:239" customHeight="1" ht="13.2">
      <c r="G1323" s="5"/>
      <c r="H1323" s="5"/>
      <c r="I1323" s="5"/>
      <c r="J1323" s="5"/>
    </row>
    <row r="1324" spans="1:239" customHeight="1" ht="13.2">
      <c r="G1324" s="5"/>
      <c r="H1324" s="5"/>
      <c r="I1324" s="5"/>
      <c r="J1324" s="5"/>
    </row>
    <row r="1325" spans="1:239" customHeight="1" ht="13.2">
      <c r="G1325" s="5"/>
      <c r="H1325" s="5"/>
      <c r="I1325" s="5"/>
      <c r="J1325" s="5"/>
    </row>
    <row r="1326" spans="1:239" customHeight="1" ht="13.2">
      <c r="G1326" s="5"/>
      <c r="H1326" s="5"/>
      <c r="I1326" s="5"/>
      <c r="J1326" s="5"/>
    </row>
    <row r="1327" spans="1:239" customHeight="1" ht="13.2">
      <c r="G1327" s="5"/>
      <c r="H1327" s="5"/>
      <c r="I1327" s="5"/>
      <c r="J1327" s="5"/>
    </row>
    <row r="1328" spans="1:239" customHeight="1" ht="13.2">
      <c r="G1328" s="5"/>
      <c r="H1328" s="5"/>
      <c r="I1328" s="5"/>
      <c r="J1328" s="5"/>
    </row>
    <row r="1329" spans="1:239" customHeight="1" ht="13.2">
      <c r="G1329" s="5"/>
      <c r="H1329" s="5"/>
      <c r="I1329" s="5"/>
      <c r="J1329" s="5"/>
    </row>
    <row r="1330" spans="1:239" customHeight="1" ht="13.2">
      <c r="G1330" s="5"/>
      <c r="H1330" s="5"/>
      <c r="I1330" s="5"/>
      <c r="J1330" s="5"/>
    </row>
    <row r="1331" spans="1:239" customHeight="1" ht="13.2">
      <c r="G1331" s="5"/>
      <c r="H1331" s="5"/>
      <c r="I1331" s="5"/>
      <c r="J1331" s="5"/>
    </row>
    <row r="1332" spans="1:239" customHeight="1" ht="13.2">
      <c r="G1332" s="5"/>
      <c r="H1332" s="5"/>
      <c r="I1332" s="5"/>
      <c r="J1332" s="5"/>
    </row>
    <row r="1333" spans="1:239" customHeight="1" ht="13.2">
      <c r="G1333" s="5"/>
      <c r="H1333" s="5"/>
      <c r="I1333" s="5"/>
      <c r="J1333" s="5"/>
    </row>
    <row r="1334" spans="1:239" customHeight="1" ht="13.2">
      <c r="G1334" s="5"/>
      <c r="H1334" s="5"/>
      <c r="I1334" s="5"/>
      <c r="J1334" s="5"/>
    </row>
    <row r="1335" spans="1:239" customHeight="1" ht="13.2">
      <c r="G1335" s="5"/>
      <c r="H1335" s="5"/>
      <c r="I1335" s="5"/>
      <c r="J1335" s="5"/>
    </row>
    <row r="1336" spans="1:239" customHeight="1" ht="13.2">
      <c r="G1336" s="5"/>
      <c r="H1336" s="5"/>
      <c r="I1336" s="5"/>
      <c r="J1336" s="5"/>
    </row>
    <row r="1337" spans="1:239" customHeight="1" ht="13.2">
      <c r="G1337" s="5"/>
      <c r="H1337" s="5"/>
      <c r="I1337" s="5"/>
      <c r="J1337" s="5"/>
    </row>
    <row r="1338" spans="1:239" customHeight="1" ht="13.2">
      <c r="G1338" s="5"/>
      <c r="H1338" s="5"/>
      <c r="I1338" s="5"/>
      <c r="J1338" s="5"/>
    </row>
    <row r="1339" spans="1:239" customHeight="1" ht="13.2">
      <c r="G1339" s="5"/>
      <c r="H1339" s="5"/>
      <c r="I1339" s="5"/>
      <c r="J1339" s="5"/>
    </row>
    <row r="1340" spans="1:239" customHeight="1" ht="13.2">
      <c r="G1340" s="5"/>
      <c r="H1340" s="5"/>
      <c r="I1340" s="5"/>
      <c r="J1340" s="5"/>
    </row>
    <row r="1341" spans="1:239" customHeight="1" ht="13.2">
      <c r="G1341" s="5"/>
      <c r="H1341" s="5"/>
      <c r="I1341" s="5"/>
      <c r="J1341" s="5"/>
    </row>
    <row r="1342" spans="1:239" customHeight="1" ht="13.2">
      <c r="G1342" s="5"/>
      <c r="H1342" s="5"/>
      <c r="I1342" s="5"/>
      <c r="J1342" s="5"/>
    </row>
    <row r="1343" spans="1:239" customHeight="1" ht="13.2">
      <c r="G1343" s="5"/>
      <c r="H1343" s="5"/>
      <c r="I1343" s="5"/>
      <c r="J1343" s="5"/>
    </row>
    <row r="1344" spans="1:239" customHeight="1" ht="13.2">
      <c r="G1344" s="5"/>
      <c r="H1344" s="5"/>
      <c r="I1344" s="5"/>
      <c r="J1344" s="5"/>
    </row>
    <row r="1345" spans="1:239" customHeight="1" ht="13.2">
      <c r="G1345" s="5"/>
      <c r="H1345" s="5"/>
      <c r="I1345" s="5"/>
      <c r="J1345" s="5"/>
    </row>
    <row r="1346" spans="1:239" customHeight="1" ht="13.2">
      <c r="G1346" s="5"/>
      <c r="H1346" s="5"/>
      <c r="I1346" s="5"/>
      <c r="J1346" s="5"/>
    </row>
    <row r="1347" spans="1:239" customHeight="1" ht="13.2">
      <c r="G1347" s="5"/>
      <c r="H1347" s="5"/>
      <c r="I1347" s="5"/>
      <c r="J1347" s="5"/>
    </row>
    <row r="1348" spans="1:239" customHeight="1" ht="13.2">
      <c r="G1348" s="5"/>
      <c r="H1348" s="5"/>
      <c r="I1348" s="5"/>
      <c r="J1348" s="5"/>
    </row>
    <row r="1349" spans="1:239" customHeight="1" ht="13.2">
      <c r="G1349" s="5"/>
      <c r="H1349" s="5"/>
      <c r="I1349" s="5"/>
      <c r="J1349" s="5"/>
    </row>
    <row r="1350" spans="1:239" customHeight="1" ht="13.2">
      <c r="G1350" s="5"/>
      <c r="H1350" s="5"/>
      <c r="I1350" s="5"/>
      <c r="J1350" s="5"/>
    </row>
    <row r="1351" spans="1:239" customHeight="1" ht="13.2">
      <c r="G1351" s="5"/>
      <c r="H1351" s="5"/>
      <c r="I1351" s="5"/>
      <c r="J1351" s="5"/>
    </row>
    <row r="1352" spans="1:239" customHeight="1" ht="13.2">
      <c r="G1352" s="5"/>
      <c r="H1352" s="5"/>
      <c r="I1352" s="5"/>
      <c r="J1352" s="5"/>
    </row>
    <row r="1353" spans="1:239" customHeight="1" ht="13.2">
      <c r="G1353" s="5"/>
      <c r="H1353" s="5"/>
      <c r="I1353" s="5"/>
      <c r="J1353" s="5"/>
    </row>
    <row r="1354" spans="1:239" customHeight="1" ht="13.2">
      <c r="G1354" s="5"/>
      <c r="H1354" s="5"/>
      <c r="I1354" s="5"/>
      <c r="J1354" s="5"/>
    </row>
    <row r="1355" spans="1:239" customHeight="1" ht="13.2">
      <c r="G1355" s="5"/>
      <c r="H1355" s="5"/>
      <c r="I1355" s="5"/>
      <c r="J1355" s="5"/>
    </row>
    <row r="1356" spans="1:239" customHeight="1" ht="13.2">
      <c r="G1356" s="5"/>
      <c r="H1356" s="5"/>
      <c r="I1356" s="5"/>
      <c r="J1356" s="5"/>
    </row>
    <row r="1357" spans="1:239" customHeight="1" ht="13.2">
      <c r="G1357" s="5"/>
      <c r="H1357" s="5"/>
      <c r="I1357" s="5"/>
      <c r="J1357" s="5"/>
    </row>
    <row r="1358" spans="1:239" customHeight="1" ht="13.2">
      <c r="G1358" s="5"/>
      <c r="H1358" s="5"/>
      <c r="I1358" s="5"/>
      <c r="J1358" s="5"/>
    </row>
    <row r="1359" spans="1:239" customHeight="1" ht="13.2">
      <c r="G1359" s="5"/>
      <c r="H1359" s="5"/>
      <c r="I1359" s="5"/>
      <c r="J1359" s="5"/>
    </row>
    <row r="1360" spans="1:239" customHeight="1" ht="13.2">
      <c r="G1360" s="5"/>
      <c r="H1360" s="5"/>
      <c r="I1360" s="5"/>
      <c r="J1360" s="5"/>
    </row>
    <row r="1361" spans="1:239" customHeight="1" ht="13.2">
      <c r="G1361" s="5"/>
      <c r="H1361" s="5"/>
      <c r="I1361" s="5"/>
      <c r="J1361" s="5"/>
    </row>
    <row r="1362" spans="1:239" customHeight="1" ht="13.2">
      <c r="G1362" s="5"/>
      <c r="H1362" s="5"/>
      <c r="I1362" s="5"/>
      <c r="J1362" s="5"/>
    </row>
    <row r="1363" spans="1:239" customHeight="1" ht="13.2">
      <c r="G1363" s="5"/>
      <c r="H1363" s="5"/>
      <c r="I1363" s="5"/>
      <c r="J1363" s="5"/>
    </row>
    <row r="1364" spans="1:239" customHeight="1" ht="13.2">
      <c r="G1364" s="5"/>
      <c r="H1364" s="5"/>
      <c r="I1364" s="5"/>
      <c r="J1364" s="5"/>
    </row>
    <row r="1365" spans="1:239" customHeight="1" ht="13.2">
      <c r="G1365" s="5"/>
      <c r="H1365" s="5"/>
      <c r="I1365" s="5"/>
      <c r="J1365" s="5"/>
    </row>
    <row r="1366" spans="1:239" customHeight="1" ht="13.2">
      <c r="G1366" s="5"/>
      <c r="H1366" s="5"/>
      <c r="I1366" s="5"/>
      <c r="J1366" s="5"/>
    </row>
    <row r="1367" spans="1:239" customHeight="1" ht="13.2">
      <c r="G1367" s="5"/>
      <c r="H1367" s="5"/>
      <c r="I1367" s="5"/>
      <c r="J1367" s="5"/>
    </row>
    <row r="1368" spans="1:239" customHeight="1" ht="13.2">
      <c r="G1368" s="5"/>
      <c r="H1368" s="5"/>
      <c r="I1368" s="5"/>
      <c r="J1368" s="5"/>
    </row>
    <row r="1369" spans="1:239" customHeight="1" ht="13.2">
      <c r="G1369" s="5"/>
      <c r="H1369" s="5"/>
      <c r="I1369" s="5"/>
      <c r="J1369" s="5"/>
    </row>
    <row r="1370" spans="1:239" customHeight="1" ht="13.2">
      <c r="G1370" s="5"/>
      <c r="H1370" s="5"/>
      <c r="I1370" s="5"/>
      <c r="J1370" s="5"/>
    </row>
    <row r="1371" spans="1:239" customHeight="1" ht="13.2">
      <c r="G1371" s="5"/>
      <c r="H1371" s="5"/>
      <c r="I1371" s="5"/>
      <c r="J1371" s="5"/>
    </row>
    <row r="1372" spans="1:239" customHeight="1" ht="13.2">
      <c r="G1372" s="5"/>
      <c r="H1372" s="5"/>
      <c r="I1372" s="5"/>
      <c r="J1372" s="5"/>
    </row>
    <row r="1373" spans="1:239" customHeight="1" ht="13.2">
      <c r="G1373" s="5"/>
      <c r="H1373" s="5"/>
      <c r="I1373" s="5"/>
      <c r="J1373" s="5"/>
    </row>
    <row r="1374" spans="1:239" customHeight="1" ht="13.2">
      <c r="G1374" s="5"/>
      <c r="H1374" s="5"/>
      <c r="I1374" s="5"/>
      <c r="J1374" s="5"/>
    </row>
    <row r="1375" spans="1:239" customHeight="1" ht="13.2">
      <c r="G1375" s="5"/>
      <c r="H1375" s="5"/>
      <c r="I1375" s="5"/>
      <c r="J1375" s="5"/>
    </row>
    <row r="1376" spans="1:239" customHeight="1" ht="13.2">
      <c r="G1376" s="5"/>
      <c r="H1376" s="5"/>
      <c r="I1376" s="5"/>
      <c r="J1376" s="5"/>
    </row>
    <row r="1377" spans="1:239" customHeight="1" ht="13.2">
      <c r="G1377" s="5"/>
      <c r="H1377" s="5"/>
      <c r="I1377" s="5"/>
      <c r="J1377" s="5"/>
    </row>
    <row r="1378" spans="1:239" customHeight="1" ht="13.2">
      <c r="G1378" s="5"/>
      <c r="H1378" s="5"/>
      <c r="I1378" s="5"/>
      <c r="J1378" s="5"/>
    </row>
    <row r="1379" spans="1:239" customHeight="1" ht="13.2">
      <c r="G1379" s="5"/>
      <c r="H1379" s="5"/>
      <c r="I1379" s="5"/>
      <c r="J1379" s="5"/>
    </row>
    <row r="1380" spans="1:239" customHeight="1" ht="13.2">
      <c r="G1380" s="5"/>
      <c r="H1380" s="5"/>
      <c r="I1380" s="5"/>
      <c r="J1380" s="5"/>
    </row>
    <row r="1381" spans="1:239" customHeight="1" ht="13.2">
      <c r="G1381" s="5"/>
      <c r="H1381" s="5"/>
      <c r="I1381" s="5"/>
      <c r="J1381" s="5"/>
    </row>
    <row r="1382" spans="1:239" customHeight="1" ht="13.2">
      <c r="G1382" s="5"/>
      <c r="H1382" s="5"/>
      <c r="I1382" s="5"/>
      <c r="J1382" s="5"/>
    </row>
    <row r="1383" spans="1:239" customHeight="1" ht="13.2">
      <c r="G1383" s="5"/>
      <c r="H1383" s="5"/>
      <c r="I1383" s="5"/>
      <c r="J1383" s="5"/>
    </row>
    <row r="1384" spans="1:239" customHeight="1" ht="13.2">
      <c r="G1384" s="5"/>
      <c r="H1384" s="5"/>
      <c r="I1384" s="5"/>
      <c r="J1384" s="5"/>
    </row>
    <row r="1385" spans="1:239" customHeight="1" ht="13.2">
      <c r="G1385" s="5"/>
      <c r="H1385" s="5"/>
      <c r="I1385" s="5"/>
      <c r="J1385" s="5"/>
    </row>
    <row r="1386" spans="1:239" customHeight="1" ht="13.2">
      <c r="G1386" s="5"/>
      <c r="H1386" s="5"/>
      <c r="I1386" s="5"/>
      <c r="J1386" s="5"/>
    </row>
    <row r="1387" spans="1:239" customHeight="1" ht="13.2">
      <c r="G1387" s="5"/>
      <c r="H1387" s="5"/>
      <c r="I1387" s="5"/>
      <c r="J1387" s="5"/>
    </row>
    <row r="1388" spans="1:239" customHeight="1" ht="13.2">
      <c r="G1388" s="5"/>
      <c r="H1388" s="5"/>
      <c r="I1388" s="5"/>
      <c r="J1388" s="5"/>
    </row>
    <row r="1389" spans="1:239" customHeight="1" ht="13.2">
      <c r="G1389" s="5"/>
      <c r="H1389" s="5"/>
      <c r="I1389" s="5"/>
      <c r="J1389" s="5"/>
    </row>
    <row r="1390" spans="1:239" customHeight="1" ht="13.2">
      <c r="G1390" s="5"/>
      <c r="H1390" s="5"/>
      <c r="I1390" s="5"/>
      <c r="J1390" s="5"/>
    </row>
    <row r="1391" spans="1:239" customHeight="1" ht="13.2">
      <c r="G1391" s="5"/>
      <c r="H1391" s="5"/>
      <c r="I1391" s="5"/>
      <c r="J1391" s="5"/>
    </row>
    <row r="1392" spans="1:239" customHeight="1" ht="13.2">
      <c r="G1392" s="5"/>
      <c r="H1392" s="5"/>
      <c r="I1392" s="5"/>
      <c r="J1392" s="5"/>
    </row>
    <row r="1393" spans="1:239" customHeight="1" ht="13.2">
      <c r="G1393" s="5"/>
      <c r="H1393" s="5"/>
      <c r="I1393" s="5"/>
      <c r="J1393" s="5"/>
    </row>
    <row r="1394" spans="1:239" customHeight="1" ht="13.2">
      <c r="G1394" s="5"/>
      <c r="H1394" s="5"/>
      <c r="I1394" s="5"/>
      <c r="J1394" s="5"/>
    </row>
    <row r="1395" spans="1:239" customHeight="1" ht="13.2">
      <c r="G1395" s="5"/>
      <c r="H1395" s="5"/>
      <c r="I1395" s="5"/>
      <c r="J1395" s="5"/>
    </row>
    <row r="1396" spans="1:239" customHeight="1" ht="13.2">
      <c r="G1396" s="5"/>
      <c r="H1396" s="5"/>
      <c r="I1396" s="5"/>
      <c r="J1396" s="5"/>
    </row>
    <row r="1397" spans="1:239" customHeight="1" ht="13.2">
      <c r="G1397" s="5"/>
      <c r="H1397" s="5"/>
      <c r="I1397" s="5"/>
      <c r="J1397" s="5"/>
    </row>
    <row r="1398" spans="1:239" customHeight="1" ht="13.2">
      <c r="G1398" s="5"/>
      <c r="H1398" s="5"/>
      <c r="I1398" s="5"/>
      <c r="J1398" s="5"/>
    </row>
    <row r="1399" spans="1:239" customHeight="1" ht="13.2">
      <c r="G1399" s="5"/>
      <c r="H1399" s="5"/>
      <c r="I1399" s="5"/>
      <c r="J1399" s="5"/>
    </row>
    <row r="1400" spans="1:239" customHeight="1" ht="13.2">
      <c r="G1400" s="5"/>
      <c r="H1400" s="5"/>
      <c r="I1400" s="5"/>
      <c r="J1400" s="5"/>
    </row>
    <row r="1401" spans="1:239" customHeight="1" ht="13.2">
      <c r="G1401" s="5"/>
      <c r="H1401" s="5"/>
      <c r="I1401" s="5"/>
      <c r="J1401" s="5"/>
    </row>
    <row r="1402" spans="1:239" customHeight="1" ht="13.2">
      <c r="G1402" s="5"/>
      <c r="H1402" s="5"/>
      <c r="I1402" s="5"/>
      <c r="J1402" s="5"/>
    </row>
    <row r="1403" spans="1:239" customHeight="1" ht="13.2">
      <c r="G1403" s="5"/>
      <c r="H1403" s="5"/>
      <c r="I1403" s="5"/>
      <c r="J1403" s="5"/>
    </row>
    <row r="1404" spans="1:239" customHeight="1" ht="13.2">
      <c r="G1404" s="5"/>
      <c r="H1404" s="5"/>
      <c r="I1404" s="5"/>
      <c r="J1404" s="5"/>
    </row>
    <row r="1405" spans="1:239" customHeight="1" ht="13.2">
      <c r="G1405" s="5"/>
      <c r="H1405" s="5"/>
      <c r="I1405" s="5"/>
      <c r="J1405" s="5"/>
    </row>
    <row r="1406" spans="1:239" customHeight="1" ht="13.2">
      <c r="G1406" s="5"/>
      <c r="H1406" s="5"/>
      <c r="I1406" s="5"/>
      <c r="J1406" s="5"/>
    </row>
    <row r="1407" spans="1:239" customHeight="1" ht="13.2">
      <c r="G1407" s="5"/>
      <c r="H1407" s="5"/>
      <c r="I1407" s="5"/>
      <c r="J1407" s="5"/>
    </row>
    <row r="1408" spans="1:239" customHeight="1" ht="13.2">
      <c r="G1408" s="5"/>
      <c r="H1408" s="5"/>
      <c r="I1408" s="5"/>
      <c r="J1408" s="5"/>
    </row>
    <row r="1409" spans="1:239" customHeight="1" ht="13.2">
      <c r="G1409" s="5"/>
      <c r="H1409" s="5"/>
      <c r="I1409" s="5"/>
      <c r="J1409" s="5"/>
    </row>
    <row r="1410" spans="1:239" customHeight="1" ht="13.2">
      <c r="G1410" s="5"/>
      <c r="H1410" s="5"/>
      <c r="I1410" s="5"/>
      <c r="J1410" s="5"/>
    </row>
    <row r="1411" spans="1:239" customHeight="1" ht="13.2">
      <c r="G1411" s="5"/>
      <c r="H1411" s="5"/>
      <c r="I1411" s="5"/>
      <c r="J1411" s="5"/>
    </row>
    <row r="1412" spans="1:239" customHeight="1" ht="13.2">
      <c r="G1412" s="5"/>
      <c r="H1412" s="5"/>
      <c r="I1412" s="5"/>
      <c r="J1412" s="5"/>
    </row>
    <row r="1413" spans="1:239" customHeight="1" ht="13.2">
      <c r="G1413" s="5"/>
      <c r="H1413" s="5"/>
      <c r="I1413" s="5"/>
      <c r="J1413" s="5"/>
    </row>
    <row r="1414" spans="1:239" customHeight="1" ht="13.2">
      <c r="G1414" s="5"/>
      <c r="H1414" s="5"/>
      <c r="I1414" s="5"/>
      <c r="J1414" s="5"/>
    </row>
    <row r="1415" spans="1:239" customHeight="1" ht="13.2">
      <c r="G1415" s="5"/>
      <c r="H1415" s="5"/>
      <c r="I1415" s="5"/>
      <c r="J1415" s="5"/>
    </row>
    <row r="1416" spans="1:239" customHeight="1" ht="13.2">
      <c r="G1416" s="5"/>
      <c r="H1416" s="5"/>
      <c r="I1416" s="5"/>
      <c r="J1416" s="5"/>
    </row>
    <row r="1417" spans="1:239" customHeight="1" ht="13.2">
      <c r="G1417" s="5"/>
      <c r="H1417" s="5"/>
      <c r="I1417" s="5"/>
      <c r="J1417" s="5"/>
    </row>
    <row r="1418" spans="1:239" customHeight="1" ht="13.2">
      <c r="G1418" s="5"/>
      <c r="H1418" s="5"/>
      <c r="I1418" s="5"/>
      <c r="J1418" s="5"/>
    </row>
    <row r="1419" spans="1:239" customHeight="1" ht="13.2">
      <c r="G1419" s="5"/>
      <c r="H1419" s="5"/>
      <c r="I1419" s="5"/>
      <c r="J1419" s="5"/>
    </row>
    <row r="1420" spans="1:239" customHeight="1" ht="13.2">
      <c r="G1420" s="5"/>
      <c r="H1420" s="5"/>
      <c r="I1420" s="5"/>
      <c r="J1420" s="5"/>
    </row>
    <row r="1421" spans="1:239" customHeight="1" ht="13.2">
      <c r="G1421" s="5"/>
      <c r="H1421" s="5"/>
      <c r="I1421" s="5"/>
      <c r="J1421" s="5"/>
    </row>
    <row r="1422" spans="1:239" customHeight="1" ht="13.2">
      <c r="G1422" s="5"/>
      <c r="H1422" s="5"/>
      <c r="I1422" s="5"/>
      <c r="J1422" s="5"/>
    </row>
    <row r="1423" spans="1:239" customHeight="1" ht="13.2">
      <c r="G1423" s="5"/>
      <c r="H1423" s="5"/>
      <c r="I1423" s="5"/>
      <c r="J1423" s="5"/>
    </row>
    <row r="1424" spans="1:239" customHeight="1" ht="13.2">
      <c r="G1424" s="5"/>
      <c r="H1424" s="5"/>
      <c r="I1424" s="5"/>
      <c r="J1424" s="5"/>
    </row>
    <row r="1425" spans="1:239" customHeight="1" ht="13.2">
      <c r="G1425" s="5"/>
      <c r="H1425" s="5"/>
      <c r="I1425" s="5"/>
      <c r="J1425" s="5"/>
    </row>
    <row r="1426" spans="1:239" customHeight="1" ht="13.2">
      <c r="G1426" s="5"/>
      <c r="H1426" s="5"/>
      <c r="I1426" s="5"/>
      <c r="J1426" s="5"/>
    </row>
    <row r="1427" spans="1:239" customHeight="1" ht="13.2">
      <c r="G1427" s="5"/>
      <c r="H1427" s="5"/>
      <c r="I1427" s="5"/>
      <c r="J1427" s="5"/>
    </row>
    <row r="1428" spans="1:239" customHeight="1" ht="13.2">
      <c r="G1428" s="5"/>
      <c r="H1428" s="5"/>
      <c r="I1428" s="5"/>
      <c r="J1428" s="5"/>
    </row>
    <row r="1429" spans="1:239" customHeight="1" ht="13.2">
      <c r="G1429" s="5"/>
      <c r="H1429" s="5"/>
      <c r="I1429" s="5"/>
      <c r="J1429" s="5"/>
    </row>
    <row r="1430" spans="1:239" customHeight="1" ht="13.2">
      <c r="G1430" s="5"/>
      <c r="H1430" s="5"/>
      <c r="I1430" s="5"/>
      <c r="J1430" s="5"/>
    </row>
    <row r="1431" spans="1:239" customHeight="1" ht="13.2">
      <c r="G1431" s="5"/>
      <c r="H1431" s="5"/>
      <c r="I1431" s="5"/>
      <c r="J1431" s="5"/>
    </row>
    <row r="1432" spans="1:239" customHeight="1" ht="13.2">
      <c r="G1432" s="5"/>
      <c r="H1432" s="5"/>
      <c r="I1432" s="5"/>
      <c r="J1432" s="5"/>
    </row>
    <row r="1433" spans="1:239" customHeight="1" ht="13.2">
      <c r="G1433" s="5"/>
      <c r="H1433" s="5"/>
      <c r="I1433" s="5"/>
      <c r="J1433" s="5"/>
    </row>
    <row r="1434" spans="1:239" customHeight="1" ht="13.2">
      <c r="G1434" s="5"/>
      <c r="H1434" s="5"/>
      <c r="I1434" s="5"/>
      <c r="J1434" s="5"/>
    </row>
    <row r="1435" spans="1:239" customHeight="1" ht="13.2">
      <c r="G1435" s="5"/>
      <c r="H1435" s="5"/>
      <c r="I1435" s="5"/>
      <c r="J1435" s="5"/>
    </row>
    <row r="1436" spans="1:239" customHeight="1" ht="13.2">
      <c r="G1436" s="5"/>
      <c r="H1436" s="5"/>
      <c r="I1436" s="5"/>
      <c r="J1436" s="5"/>
    </row>
    <row r="1437" spans="1:239" customHeight="1" ht="13.2">
      <c r="G1437" s="5"/>
      <c r="H1437" s="5"/>
      <c r="I1437" s="5"/>
      <c r="J1437" s="5"/>
    </row>
    <row r="1438" spans="1:239" customHeight="1" ht="13.2">
      <c r="G1438" s="5"/>
      <c r="H1438" s="5"/>
      <c r="I1438" s="5"/>
      <c r="J1438" s="5"/>
    </row>
    <row r="1439" spans="1:239" customHeight="1" ht="13.2">
      <c r="G1439" s="5"/>
      <c r="H1439" s="5"/>
      <c r="I1439" s="5"/>
      <c r="J1439" s="5"/>
    </row>
    <row r="1440" spans="1:239" customHeight="1" ht="13.2">
      <c r="G1440" s="5"/>
      <c r="H1440" s="5"/>
      <c r="I1440" s="5"/>
      <c r="J1440" s="5"/>
    </row>
    <row r="1441" spans="1:239" customHeight="1" ht="13.2">
      <c r="G1441" s="5"/>
      <c r="H1441" s="5"/>
      <c r="I1441" s="5"/>
      <c r="J1441" s="5"/>
    </row>
    <row r="1442" spans="1:239" customHeight="1" ht="13.2">
      <c r="G1442" s="5"/>
      <c r="H1442" s="5"/>
      <c r="I1442" s="5"/>
      <c r="J1442" s="5"/>
    </row>
    <row r="1443" spans="1:239" customHeight="1" ht="13.2">
      <c r="G1443" s="5"/>
      <c r="H1443" s="5"/>
      <c r="I1443" s="5"/>
      <c r="J1443" s="5"/>
    </row>
    <row r="1444" spans="1:239" customHeight="1" ht="13.2">
      <c r="G1444" s="5"/>
      <c r="H1444" s="5"/>
      <c r="I1444" s="5"/>
      <c r="J1444" s="5"/>
    </row>
    <row r="1445" spans="1:239" customHeight="1" ht="13.2">
      <c r="G1445" s="5"/>
      <c r="H1445" s="5"/>
      <c r="I1445" s="5"/>
      <c r="J1445" s="5"/>
    </row>
    <row r="1446" spans="1:239" customHeight="1" ht="13.2">
      <c r="G1446" s="5"/>
      <c r="H1446" s="5"/>
      <c r="I1446" s="5"/>
      <c r="J1446" s="5"/>
    </row>
    <row r="1447" spans="1:239" customHeight="1" ht="13.2">
      <c r="G1447" s="5"/>
      <c r="H1447" s="5"/>
      <c r="I1447" s="5"/>
      <c r="J1447" s="5"/>
    </row>
    <row r="1448" spans="1:239" customHeight="1" ht="13.2">
      <c r="G1448" s="5"/>
      <c r="H1448" s="5"/>
      <c r="I1448" s="5"/>
      <c r="J1448" s="5"/>
    </row>
    <row r="1449" spans="1:239" customHeight="1" ht="13.2">
      <c r="G1449" s="5"/>
      <c r="H1449" s="5"/>
      <c r="I1449" s="5"/>
      <c r="J1449" s="5"/>
    </row>
    <row r="1450" spans="1:239" customHeight="1" ht="13.2">
      <c r="G1450" s="5"/>
      <c r="H1450" s="5"/>
      <c r="I1450" s="5"/>
      <c r="J1450" s="5"/>
    </row>
    <row r="1451" spans="1:239" customHeight="1" ht="13.2">
      <c r="G1451" s="5"/>
      <c r="H1451" s="5"/>
      <c r="I1451" s="5"/>
      <c r="J1451" s="5"/>
    </row>
    <row r="1452" spans="1:239" customHeight="1" ht="13.2">
      <c r="G1452" s="5"/>
      <c r="H1452" s="5"/>
      <c r="I1452" s="5"/>
      <c r="J1452" s="5"/>
    </row>
    <row r="1453" spans="1:239" customHeight="1" ht="13.2">
      <c r="G1453" s="5"/>
      <c r="H1453" s="5"/>
      <c r="I1453" s="5"/>
      <c r="J1453" s="5"/>
    </row>
    <row r="1454" spans="1:239" customHeight="1" ht="13.2">
      <c r="G1454" s="5"/>
      <c r="H1454" s="5"/>
      <c r="I1454" s="5"/>
      <c r="J1454" s="5"/>
    </row>
    <row r="1455" spans="1:239" customHeight="1" ht="13.2">
      <c r="G1455" s="5"/>
      <c r="H1455" s="5"/>
      <c r="I1455" s="5"/>
      <c r="J1455" s="5"/>
    </row>
    <row r="1456" spans="1:239" customHeight="1" ht="13.2">
      <c r="G1456" s="5"/>
      <c r="H1456" s="5"/>
      <c r="I1456" s="5"/>
      <c r="J1456" s="5"/>
    </row>
    <row r="1457" spans="1:239" customHeight="1" ht="13.2">
      <c r="G1457" s="5"/>
      <c r="H1457" s="5"/>
      <c r="I1457" s="5"/>
      <c r="J1457" s="5"/>
    </row>
    <row r="1458" spans="1:239" customHeight="1" ht="13.2">
      <c r="G1458" s="5"/>
      <c r="H1458" s="5"/>
      <c r="I1458" s="5"/>
      <c r="J1458" s="5"/>
    </row>
    <row r="1459" spans="1:239" customHeight="1" ht="13.2">
      <c r="G1459" s="5"/>
      <c r="H1459" s="5"/>
      <c r="I1459" s="5"/>
      <c r="J1459" s="5"/>
    </row>
    <row r="1460" spans="1:239" customHeight="1" ht="13.2">
      <c r="G1460" s="5"/>
      <c r="H1460" s="5"/>
      <c r="I1460" s="5"/>
      <c r="J1460" s="5"/>
    </row>
    <row r="1461" spans="1:239" customHeight="1" ht="13.2">
      <c r="G1461" s="5"/>
      <c r="H1461" s="5"/>
      <c r="I1461" s="5"/>
      <c r="J1461" s="5"/>
    </row>
    <row r="1462" spans="1:239" customHeight="1" ht="13.2">
      <c r="G1462" s="5"/>
      <c r="H1462" s="5"/>
      <c r="I1462" s="5"/>
      <c r="J1462" s="5"/>
    </row>
    <row r="1463" spans="1:239" customHeight="1" ht="13.2">
      <c r="G1463" s="5"/>
      <c r="H1463" s="5"/>
      <c r="I1463" s="5"/>
      <c r="J1463" s="5"/>
    </row>
    <row r="1464" spans="1:239" customHeight="1" ht="13.2">
      <c r="G1464" s="5"/>
      <c r="H1464" s="5"/>
      <c r="I1464" s="5"/>
      <c r="J1464" s="5"/>
    </row>
    <row r="1465" spans="1:239" customHeight="1" ht="13.2">
      <c r="G1465" s="5"/>
      <c r="H1465" s="5"/>
      <c r="I1465" s="5"/>
      <c r="J1465" s="5"/>
    </row>
    <row r="1466" spans="1:239" customHeight="1" ht="13.2">
      <c r="G1466" s="5"/>
      <c r="H1466" s="5"/>
      <c r="I1466" s="5"/>
      <c r="J1466" s="5"/>
    </row>
    <row r="1467" spans="1:239" customHeight="1" ht="13.2">
      <c r="G1467" s="5"/>
      <c r="H1467" s="5"/>
      <c r="I1467" s="5"/>
      <c r="J1467" s="5"/>
    </row>
    <row r="1468" spans="1:239" customHeight="1" ht="13.2">
      <c r="G1468" s="5"/>
      <c r="H1468" s="5"/>
      <c r="I1468" s="5"/>
      <c r="J1468" s="5"/>
    </row>
    <row r="1469" spans="1:239" customHeight="1" ht="13.2">
      <c r="G1469" s="5"/>
      <c r="H1469" s="5"/>
      <c r="I1469" s="5"/>
      <c r="J1469" s="5"/>
    </row>
    <row r="1470" spans="1:239" customHeight="1" ht="13.2">
      <c r="G1470" s="5"/>
      <c r="H1470" s="5"/>
      <c r="I1470" s="5"/>
      <c r="J1470" s="5"/>
    </row>
    <row r="1471" spans="1:239" customHeight="1" ht="13.2">
      <c r="G1471" s="5"/>
      <c r="H1471" s="5"/>
      <c r="I1471" s="5"/>
      <c r="J1471" s="5"/>
    </row>
    <row r="1472" spans="1:239" customHeight="1" ht="13.2">
      <c r="G1472" s="5"/>
      <c r="H1472" s="5"/>
      <c r="I1472" s="5"/>
      <c r="J1472" s="5"/>
    </row>
    <row r="1473" spans="1:239" customHeight="1" ht="13.2">
      <c r="G1473" s="5"/>
      <c r="H1473" s="5"/>
      <c r="I1473" s="5"/>
      <c r="J1473" s="5"/>
    </row>
    <row r="1474" spans="1:239" customHeight="1" ht="13.2">
      <c r="G1474" s="5"/>
      <c r="H1474" s="5"/>
      <c r="I1474" s="5"/>
      <c r="J1474" s="5"/>
    </row>
    <row r="1475" spans="1:239" customHeight="1" ht="13.2">
      <c r="G1475" s="5"/>
      <c r="H1475" s="5"/>
      <c r="I1475" s="5"/>
      <c r="J1475" s="5"/>
    </row>
    <row r="1476" spans="1:239" customHeight="1" ht="13.2">
      <c r="G1476" s="5"/>
      <c r="H1476" s="5"/>
      <c r="I1476" s="5"/>
      <c r="J1476" s="5"/>
    </row>
    <row r="1477" spans="1:239" customHeight="1" ht="13.2">
      <c r="G1477" s="5"/>
      <c r="H1477" s="5"/>
      <c r="I1477" s="5"/>
      <c r="J1477" s="5"/>
    </row>
    <row r="1478" spans="1:239" customHeight="1" ht="13.2">
      <c r="G1478" s="5"/>
      <c r="H1478" s="5"/>
      <c r="I1478" s="5"/>
      <c r="J1478" s="5"/>
    </row>
    <row r="1479" spans="1:239" customHeight="1" ht="13.2">
      <c r="G1479" s="5"/>
      <c r="H1479" s="5"/>
      <c r="I1479" s="5"/>
      <c r="J1479" s="5"/>
    </row>
    <row r="1480" spans="1:239" customHeight="1" ht="13.2">
      <c r="G1480" s="5"/>
      <c r="H1480" s="5"/>
      <c r="I1480" s="5"/>
      <c r="J1480" s="5"/>
    </row>
    <row r="1481" spans="1:239" customHeight="1" ht="13.2">
      <c r="G1481" s="5"/>
      <c r="H1481" s="5"/>
      <c r="I1481" s="5"/>
      <c r="J1481" s="5"/>
    </row>
    <row r="1482" spans="1:239" customHeight="1" ht="13.2">
      <c r="G1482" s="5"/>
      <c r="H1482" s="5"/>
      <c r="I1482" s="5"/>
      <c r="J1482" s="5"/>
    </row>
    <row r="1483" spans="1:239" customHeight="1" ht="13.2">
      <c r="G1483" s="5"/>
      <c r="H1483" s="5"/>
      <c r="I1483" s="5"/>
      <c r="J1483" s="5"/>
    </row>
    <row r="1484" spans="1:239" customHeight="1" ht="13.2">
      <c r="G1484" s="5"/>
      <c r="H1484" s="5"/>
      <c r="I1484" s="5"/>
      <c r="J1484" s="5"/>
    </row>
    <row r="1485" spans="1:239" customHeight="1" ht="13.2">
      <c r="G1485" s="5"/>
      <c r="H1485" s="5"/>
      <c r="I1485" s="5"/>
      <c r="J1485" s="5"/>
    </row>
    <row r="1486" spans="1:239" customHeight="1" ht="13.2">
      <c r="G1486" s="5"/>
      <c r="H1486" s="5"/>
      <c r="I1486" s="5"/>
      <c r="J1486" s="5"/>
    </row>
    <row r="1487" spans="1:239" customHeight="1" ht="13.2">
      <c r="G1487" s="5"/>
      <c r="H1487" s="5"/>
      <c r="I1487" s="5"/>
      <c r="J1487" s="5"/>
    </row>
    <row r="1488" spans="1:239" customHeight="1" ht="13.2">
      <c r="G1488" s="5"/>
      <c r="H1488" s="5"/>
      <c r="I1488" s="5"/>
      <c r="J1488" s="5"/>
    </row>
    <row r="1489" spans="1:239" customHeight="1" ht="13.2">
      <c r="G1489" s="5"/>
      <c r="H1489" s="5"/>
      <c r="I1489" s="5"/>
      <c r="J1489" s="5"/>
    </row>
    <row r="1490" spans="1:239" customHeight="1" ht="13.2">
      <c r="G1490" s="5"/>
      <c r="H1490" s="5"/>
      <c r="I1490" s="5"/>
      <c r="J1490" s="5"/>
    </row>
    <row r="1491" spans="1:239" customHeight="1" ht="13.2">
      <c r="G1491" s="5"/>
      <c r="H1491" s="5"/>
      <c r="I1491" s="5"/>
      <c r="J1491" s="5"/>
    </row>
    <row r="1492" spans="1:239" customHeight="1" ht="13.2">
      <c r="G1492" s="5"/>
      <c r="H1492" s="5"/>
      <c r="I1492" s="5"/>
      <c r="J1492" s="5"/>
    </row>
    <row r="1493" spans="1:239" customHeight="1" ht="13.2">
      <c r="G1493" s="5"/>
      <c r="H1493" s="5"/>
      <c r="I1493" s="5"/>
      <c r="J1493" s="5"/>
    </row>
    <row r="1494" spans="1:239" customHeight="1" ht="13.2">
      <c r="G1494" s="5"/>
      <c r="H1494" s="5"/>
      <c r="I1494" s="5"/>
      <c r="J1494" s="5"/>
    </row>
    <row r="1495" spans="1:239" customHeight="1" ht="13.2">
      <c r="G1495" s="5"/>
      <c r="H1495" s="5"/>
      <c r="I1495" s="5"/>
      <c r="J1495" s="5"/>
    </row>
    <row r="1496" spans="1:239" customHeight="1" ht="13.2">
      <c r="G1496" s="5"/>
      <c r="H1496" s="5"/>
      <c r="I1496" s="5"/>
      <c r="J1496" s="5"/>
    </row>
    <row r="1497" spans="1:239" customHeight="1" ht="13.2">
      <c r="G1497" s="5"/>
      <c r="H1497" s="5"/>
      <c r="I1497" s="5"/>
      <c r="J1497" s="5"/>
    </row>
    <row r="1498" spans="1:239" customHeight="1" ht="13.2">
      <c r="G1498" s="5"/>
      <c r="H1498" s="5"/>
      <c r="I1498" s="5"/>
      <c r="J1498" s="5"/>
    </row>
    <row r="1499" spans="1:239" customHeight="1" ht="13.2">
      <c r="G1499" s="5"/>
      <c r="H1499" s="5"/>
      <c r="I1499" s="5"/>
      <c r="J1499" s="5"/>
    </row>
    <row r="1500" spans="1:239" customHeight="1" ht="13.2">
      <c r="G1500" s="5"/>
      <c r="H1500" s="5"/>
      <c r="I1500" s="5"/>
      <c r="J1500" s="5"/>
    </row>
    <row r="1501" spans="1:239" customHeight="1" ht="13.2">
      <c r="G1501" s="5"/>
      <c r="H1501" s="5"/>
      <c r="I1501" s="5"/>
      <c r="J1501" s="5"/>
    </row>
    <row r="1502" spans="1:239" customHeight="1" ht="13.2">
      <c r="G1502" s="5"/>
      <c r="H1502" s="5"/>
      <c r="I1502" s="5"/>
      <c r="J1502" s="5"/>
    </row>
    <row r="1503" spans="1:239" customHeight="1" ht="13.2">
      <c r="G1503" s="5"/>
      <c r="H1503" s="5"/>
      <c r="I1503" s="5"/>
      <c r="J1503" s="5"/>
    </row>
    <row r="1504" spans="1:239" customHeight="1" ht="13.2">
      <c r="G1504" s="5"/>
      <c r="H1504" s="5"/>
      <c r="I1504" s="5"/>
      <c r="J1504" s="5"/>
    </row>
    <row r="1505" spans="1:239" customHeight="1" ht="13.2">
      <c r="G1505" s="5"/>
      <c r="H1505" s="5"/>
      <c r="I1505" s="5"/>
      <c r="J1505" s="5"/>
    </row>
    <row r="1506" spans="1:239" customHeight="1" ht="13.2">
      <c r="G1506" s="5"/>
      <c r="H1506" s="5"/>
      <c r="I1506" s="5"/>
      <c r="J1506" s="5"/>
    </row>
    <row r="1507" spans="1:239" customHeight="1" ht="13.2">
      <c r="G1507" s="5"/>
      <c r="H1507" s="5"/>
      <c r="I1507" s="5"/>
      <c r="J1507" s="5"/>
    </row>
    <row r="1508" spans="1:239" customHeight="1" ht="13.2">
      <c r="G1508" s="5"/>
      <c r="H1508" s="5"/>
      <c r="I1508" s="5"/>
      <c r="J1508" s="5"/>
    </row>
    <row r="1509" spans="1:239" customHeight="1" ht="13.2">
      <c r="G1509" s="5"/>
      <c r="H1509" s="5"/>
      <c r="I1509" s="5"/>
      <c r="J1509" s="5"/>
    </row>
    <row r="1510" spans="1:239" customHeight="1" ht="13.2">
      <c r="G1510" s="5"/>
      <c r="H1510" s="5"/>
      <c r="I1510" s="5"/>
      <c r="J1510" s="5"/>
    </row>
    <row r="1511" spans="1:239" customHeight="1" ht="13.2">
      <c r="G1511" s="5"/>
      <c r="H1511" s="5"/>
      <c r="I1511" s="5"/>
      <c r="J1511" s="5"/>
    </row>
    <row r="1512" spans="1:239" customHeight="1" ht="13.2">
      <c r="G1512" s="5"/>
      <c r="H1512" s="5"/>
      <c r="I1512" s="5"/>
      <c r="J1512" s="5"/>
    </row>
    <row r="1513" spans="1:239" customHeight="1" ht="13.2">
      <c r="G1513" s="5"/>
      <c r="H1513" s="5"/>
      <c r="I1513" s="5"/>
      <c r="J1513" s="5"/>
    </row>
    <row r="1514" spans="1:239" customHeight="1" ht="13.2">
      <c r="G1514" s="5"/>
      <c r="H1514" s="5"/>
      <c r="I1514" s="5"/>
      <c r="J1514" s="5"/>
    </row>
    <row r="1515" spans="1:239" customHeight="1" ht="13.2">
      <c r="G1515" s="5"/>
      <c r="H1515" s="5"/>
      <c r="I1515" s="5"/>
      <c r="J1515" s="5"/>
    </row>
    <row r="1516" spans="1:239" customHeight="1" ht="13.2">
      <c r="G1516" s="5"/>
      <c r="H1516" s="5"/>
      <c r="I1516" s="5"/>
      <c r="J1516" s="5"/>
    </row>
    <row r="1517" spans="1:239" customHeight="1" ht="13.2">
      <c r="G1517" s="5"/>
      <c r="H1517" s="5"/>
      <c r="I1517" s="5"/>
      <c r="J1517" s="5"/>
    </row>
    <row r="1518" spans="1:239" customHeight="1" ht="13.2">
      <c r="G1518" s="5"/>
      <c r="H1518" s="5"/>
      <c r="I1518" s="5"/>
      <c r="J1518" s="5"/>
    </row>
    <row r="1519" spans="1:239" customHeight="1" ht="13.2">
      <c r="G1519" s="5"/>
      <c r="H1519" s="5"/>
      <c r="I1519" s="5"/>
      <c r="J1519" s="5"/>
    </row>
    <row r="1520" spans="1:239" customHeight="1" ht="13.2">
      <c r="G1520" s="5"/>
      <c r="H1520" s="5"/>
      <c r="I1520" s="5"/>
      <c r="J1520" s="5"/>
    </row>
    <row r="1521" spans="1:239" customHeight="1" ht="13.2">
      <c r="G1521" s="5"/>
      <c r="H1521" s="5"/>
      <c r="I1521" s="5"/>
      <c r="J1521" s="5"/>
    </row>
    <row r="1522" spans="1:239" customHeight="1" ht="13.2">
      <c r="G1522" s="5"/>
      <c r="H1522" s="5"/>
      <c r="I1522" s="5"/>
      <c r="J1522" s="5"/>
    </row>
    <row r="1523" spans="1:239" customHeight="1" ht="13.2">
      <c r="G1523" s="5"/>
      <c r="H1523" s="5"/>
      <c r="I1523" s="5"/>
      <c r="J1523" s="5"/>
    </row>
    <row r="1524" spans="1:239" customHeight="1" ht="13.2">
      <c r="G1524" s="5"/>
      <c r="H1524" s="5"/>
      <c r="I1524" s="5"/>
      <c r="J1524" s="5"/>
    </row>
    <row r="1525" spans="1:239" customHeight="1" ht="13.2">
      <c r="G1525" s="5"/>
      <c r="H1525" s="5"/>
      <c r="I1525" s="5"/>
      <c r="J1525" s="5"/>
    </row>
    <row r="1526" spans="1:239" customHeight="1" ht="13.2">
      <c r="G1526" s="5"/>
      <c r="H1526" s="5"/>
      <c r="I1526" s="5"/>
      <c r="J1526" s="5"/>
    </row>
    <row r="1527" spans="1:239" customHeight="1" ht="13.2">
      <c r="G1527" s="5"/>
      <c r="H1527" s="5"/>
      <c r="I1527" s="5"/>
      <c r="J1527" s="5"/>
    </row>
    <row r="1528" spans="1:239" customHeight="1" ht="13.2">
      <c r="G1528" s="5"/>
      <c r="H1528" s="5"/>
      <c r="I1528" s="5"/>
      <c r="J1528" s="5"/>
    </row>
    <row r="1529" spans="1:239" customHeight="1" ht="13.2">
      <c r="G1529" s="5"/>
      <c r="H1529" s="5"/>
      <c r="I1529" s="5"/>
      <c r="J1529" s="5"/>
    </row>
    <row r="1530" spans="1:239" customHeight="1" ht="13.2">
      <c r="G1530" s="5"/>
      <c r="H1530" s="5"/>
      <c r="I1530" s="5"/>
      <c r="J1530" s="5"/>
    </row>
    <row r="1531" spans="1:239" customHeight="1" ht="13.2">
      <c r="G1531" s="5"/>
      <c r="H1531" s="5"/>
      <c r="I1531" s="5"/>
      <c r="J1531" s="5"/>
    </row>
    <row r="1532" spans="1:239" customHeight="1" ht="13.2">
      <c r="G1532" s="5"/>
      <c r="H1532" s="5"/>
      <c r="I1532" s="5"/>
      <c r="J1532" s="5"/>
    </row>
    <row r="1533" spans="1:239" customHeight="1" ht="13.2">
      <c r="G1533" s="5"/>
      <c r="H1533" s="5"/>
      <c r="I1533" s="5"/>
      <c r="J1533" s="5"/>
    </row>
    <row r="1534" spans="1:239" customHeight="1" ht="13.2">
      <c r="G1534" s="5"/>
      <c r="H1534" s="5"/>
      <c r="I1534" s="5"/>
      <c r="J1534" s="5"/>
    </row>
    <row r="1535" spans="1:239" customHeight="1" ht="13.2">
      <c r="G1535" s="5"/>
      <c r="H1535" s="5"/>
      <c r="I1535" s="5"/>
      <c r="J1535" s="5"/>
    </row>
    <row r="1536" spans="1:239" customHeight="1" ht="13.2">
      <c r="G1536" s="5"/>
      <c r="H1536" s="5"/>
      <c r="I1536" s="5"/>
      <c r="J1536" s="5"/>
    </row>
    <row r="1537" spans="1:239" customHeight="1" ht="13.2">
      <c r="G1537" s="5"/>
      <c r="H1537" s="5"/>
      <c r="I1537" s="5"/>
      <c r="J1537" s="5"/>
    </row>
    <row r="1538" spans="1:239" customHeight="1" ht="13.2">
      <c r="G1538" s="5"/>
      <c r="H1538" s="5"/>
      <c r="I1538" s="5"/>
      <c r="J1538" s="5"/>
    </row>
    <row r="1539" spans="1:239" customHeight="1" ht="13.2">
      <c r="G1539" s="5"/>
      <c r="H1539" s="5"/>
      <c r="I1539" s="5"/>
      <c r="J1539" s="5"/>
    </row>
    <row r="1540" spans="1:239" customHeight="1" ht="13.2">
      <c r="G1540" s="5"/>
      <c r="H1540" s="5"/>
      <c r="I1540" s="5"/>
      <c r="J1540" s="5"/>
    </row>
    <row r="1541" spans="1:239" customHeight="1" ht="13.2">
      <c r="G1541" s="5"/>
      <c r="H1541" s="5"/>
      <c r="I1541" s="5"/>
      <c r="J1541" s="5"/>
    </row>
    <row r="1542" spans="1:239" customHeight="1" ht="13.2">
      <c r="G1542" s="5"/>
      <c r="H1542" s="5"/>
      <c r="I1542" s="5"/>
      <c r="J1542" s="5"/>
    </row>
    <row r="1543" spans="1:239" customHeight="1" ht="13.2">
      <c r="G1543" s="5"/>
      <c r="H1543" s="5"/>
      <c r="I1543" s="5"/>
      <c r="J1543" s="5"/>
    </row>
    <row r="1544" spans="1:239" customHeight="1" ht="13.2">
      <c r="G1544" s="5"/>
      <c r="H1544" s="5"/>
      <c r="I1544" s="5"/>
      <c r="J1544" s="5"/>
    </row>
    <row r="1545" spans="1:239" customHeight="1" ht="13.2">
      <c r="G1545" s="5"/>
      <c r="H1545" s="5"/>
      <c r="I1545" s="5"/>
      <c r="J1545" s="5"/>
    </row>
    <row r="1546" spans="1:239" customHeight="1" ht="13.2">
      <c r="G1546" s="5"/>
      <c r="H1546" s="5"/>
      <c r="I1546" s="5"/>
      <c r="J1546" s="5"/>
    </row>
    <row r="1547" spans="1:239" customHeight="1" ht="13.2">
      <c r="G1547" s="5"/>
      <c r="H1547" s="5"/>
      <c r="I1547" s="5"/>
      <c r="J1547" s="5"/>
    </row>
    <row r="1548" spans="1:239" customHeight="1" ht="13.2">
      <c r="G1548" s="5"/>
      <c r="H1548" s="5"/>
      <c r="I1548" s="5"/>
      <c r="J1548" s="5"/>
    </row>
    <row r="1549" spans="1:239" customHeight="1" ht="13.2">
      <c r="G1549" s="5"/>
      <c r="H1549" s="5"/>
      <c r="I1549" s="5"/>
      <c r="J1549" s="5"/>
    </row>
    <row r="1550" spans="1:239" customHeight="1" ht="13.2">
      <c r="G1550" s="5"/>
      <c r="H1550" s="5"/>
      <c r="I1550" s="5"/>
      <c r="J1550" s="5"/>
    </row>
    <row r="1551" spans="1:239" customHeight="1" ht="13.2">
      <c r="G1551" s="5"/>
      <c r="H1551" s="5"/>
      <c r="I1551" s="5"/>
      <c r="J1551" s="5"/>
    </row>
    <row r="1552" spans="1:239" customHeight="1" ht="13.2">
      <c r="G1552" s="5"/>
      <c r="H1552" s="5"/>
      <c r="I1552" s="5"/>
      <c r="J1552" s="5"/>
    </row>
    <row r="1553" spans="1:239" customHeight="1" ht="13.2">
      <c r="G1553" s="5"/>
      <c r="H1553" s="5"/>
      <c r="I1553" s="5"/>
      <c r="J1553" s="5"/>
    </row>
    <row r="1554" spans="1:239" customHeight="1" ht="13.2">
      <c r="G1554" s="5"/>
      <c r="H1554" s="5"/>
      <c r="I1554" s="5"/>
      <c r="J1554" s="5"/>
    </row>
    <row r="1555" spans="1:239" customHeight="1" ht="13.2">
      <c r="G1555" s="5"/>
      <c r="H1555" s="5"/>
      <c r="I1555" s="5"/>
      <c r="J1555" s="5"/>
    </row>
    <row r="1556" spans="1:239" customHeight="1" ht="13.2">
      <c r="G1556" s="5"/>
      <c r="H1556" s="5"/>
      <c r="I1556" s="5"/>
      <c r="J1556" s="5"/>
    </row>
    <row r="1557" spans="1:239" customHeight="1" ht="13.2">
      <c r="G1557" s="5"/>
      <c r="H1557" s="5"/>
      <c r="I1557" s="5"/>
      <c r="J1557" s="5"/>
    </row>
    <row r="1558" spans="1:239" customHeight="1" ht="13.2">
      <c r="G1558" s="5"/>
      <c r="H1558" s="5"/>
      <c r="I1558" s="5"/>
      <c r="J1558" s="5"/>
    </row>
    <row r="1559" spans="1:239" customHeight="1" ht="13.2">
      <c r="G1559" s="5"/>
      <c r="H1559" s="5"/>
      <c r="I1559" s="5"/>
      <c r="J1559" s="5"/>
    </row>
    <row r="1560" spans="1:239" customHeight="1" ht="13.2">
      <c r="G1560" s="5"/>
      <c r="H1560" s="5"/>
      <c r="I1560" s="5"/>
      <c r="J1560" s="5"/>
    </row>
    <row r="1561" spans="1:239" customHeight="1" ht="13.2">
      <c r="G1561" s="5"/>
      <c r="H1561" s="5"/>
      <c r="I1561" s="5"/>
      <c r="J1561" s="5"/>
    </row>
    <row r="1562" spans="1:239" customHeight="1" ht="13.2">
      <c r="G1562" s="5"/>
      <c r="H1562" s="5"/>
      <c r="I1562" s="5"/>
      <c r="J1562" s="5"/>
    </row>
    <row r="1563" spans="1:239" customHeight="1" ht="13.2">
      <c r="G1563" s="5"/>
      <c r="H1563" s="5"/>
      <c r="I1563" s="5"/>
      <c r="J1563" s="5"/>
    </row>
    <row r="1564" spans="1:239" customHeight="1" ht="13.2">
      <c r="G1564" s="5"/>
      <c r="H1564" s="5"/>
      <c r="I1564" s="5"/>
      <c r="J1564" s="5"/>
    </row>
    <row r="1565" spans="1:239" customHeight="1" ht="13.2">
      <c r="G1565" s="5"/>
      <c r="H1565" s="5"/>
      <c r="I1565" s="5"/>
      <c r="J1565" s="5"/>
    </row>
    <row r="1566" spans="1:239" customHeight="1" ht="13.2">
      <c r="G1566" s="5"/>
      <c r="H1566" s="5"/>
      <c r="I1566" s="5"/>
      <c r="J1566" s="5"/>
    </row>
    <row r="1567" spans="1:239" customHeight="1" ht="13.2">
      <c r="G1567" s="5"/>
      <c r="H1567" s="5"/>
      <c r="I1567" s="5"/>
      <c r="J1567" s="5"/>
    </row>
    <row r="1568" spans="1:239" customHeight="1" ht="13.2">
      <c r="G1568" s="5"/>
      <c r="H1568" s="5"/>
      <c r="I1568" s="5"/>
      <c r="J1568" s="5"/>
    </row>
    <row r="1569" spans="1:239" customHeight="1" ht="13.2">
      <c r="G1569" s="5"/>
      <c r="H1569" s="5"/>
      <c r="I1569" s="5"/>
      <c r="J1569" s="5"/>
    </row>
    <row r="1570" spans="1:239" customHeight="1" ht="13.2">
      <c r="G1570" s="5"/>
      <c r="H1570" s="5"/>
      <c r="I1570" s="5"/>
      <c r="J1570" s="5"/>
    </row>
    <row r="1571" spans="1:239" customHeight="1" ht="13.2">
      <c r="G1571" s="5"/>
      <c r="H1571" s="5"/>
      <c r="I1571" s="5"/>
      <c r="J1571" s="5"/>
    </row>
    <row r="1572" spans="1:239" customHeight="1" ht="13.2">
      <c r="G1572" s="5"/>
      <c r="H1572" s="5"/>
      <c r="I1572" s="5"/>
      <c r="J1572" s="5"/>
    </row>
    <row r="1573" spans="1:239" customHeight="1" ht="13.2">
      <c r="G1573" s="5"/>
      <c r="H1573" s="5"/>
      <c r="I1573" s="5"/>
      <c r="J1573" s="5"/>
    </row>
    <row r="1574" spans="1:239" customHeight="1" ht="13.2">
      <c r="G1574" s="5"/>
      <c r="H1574" s="5"/>
      <c r="I1574" s="5"/>
      <c r="J1574" s="5"/>
    </row>
    <row r="1575" spans="1:239" customHeight="1" ht="13.2">
      <c r="G1575" s="5"/>
      <c r="H1575" s="5"/>
      <c r="I1575" s="5"/>
      <c r="J1575" s="5"/>
    </row>
    <row r="1576" spans="1:239" customHeight="1" ht="13.2">
      <c r="G1576" s="5"/>
      <c r="H1576" s="5"/>
      <c r="I1576" s="5"/>
      <c r="J1576" s="5"/>
    </row>
    <row r="1577" spans="1:239" customHeight="1" ht="13.2">
      <c r="G1577" s="5"/>
      <c r="H1577" s="5"/>
      <c r="I1577" s="5"/>
      <c r="J1577" s="5"/>
    </row>
    <row r="1578" spans="1:239" customHeight="1" ht="13.2">
      <c r="G1578" s="5"/>
      <c r="H1578" s="5"/>
      <c r="I1578" s="5"/>
      <c r="J1578" s="5"/>
    </row>
    <row r="1579" spans="1:239" customHeight="1" ht="13.2">
      <c r="G1579" s="5"/>
      <c r="H1579" s="5"/>
      <c r="I1579" s="5"/>
      <c r="J1579" s="5"/>
    </row>
    <row r="1580" spans="1:239" customHeight="1" ht="13.2">
      <c r="G1580" s="5"/>
      <c r="H1580" s="5"/>
      <c r="I1580" s="5"/>
      <c r="J1580" s="5"/>
    </row>
    <row r="1581" spans="1:239" customHeight="1" ht="13.2">
      <c r="G1581" s="5"/>
      <c r="H1581" s="5"/>
      <c r="I1581" s="5"/>
      <c r="J1581" s="5"/>
    </row>
    <row r="1582" spans="1:239" customHeight="1" ht="13.2">
      <c r="G1582" s="5"/>
      <c r="H1582" s="5"/>
      <c r="I1582" s="5"/>
      <c r="J1582" s="5"/>
    </row>
    <row r="1583" spans="1:239" customHeight="1" ht="13.2">
      <c r="G1583" s="5"/>
      <c r="H1583" s="5"/>
      <c r="I1583" s="5"/>
      <c r="J1583" s="5"/>
    </row>
    <row r="1584" spans="1:239" customHeight="1" ht="13.2">
      <c r="G1584" s="5"/>
      <c r="H1584" s="5"/>
      <c r="I1584" s="5"/>
      <c r="J1584" s="5"/>
    </row>
    <row r="1585" spans="1:239" customHeight="1" ht="13.2">
      <c r="G1585" s="5"/>
      <c r="H1585" s="5"/>
      <c r="I1585" s="5"/>
      <c r="J1585" s="5"/>
    </row>
    <row r="1586" spans="1:239" customHeight="1" ht="13.2">
      <c r="G1586" s="5"/>
      <c r="H1586" s="5"/>
      <c r="I1586" s="5"/>
      <c r="J1586" s="5"/>
    </row>
    <row r="1587" spans="1:239" customHeight="1" ht="13.2">
      <c r="G1587" s="5"/>
      <c r="H1587" s="5"/>
      <c r="I1587" s="5"/>
      <c r="J1587" s="5"/>
    </row>
    <row r="1588" spans="1:239" customHeight="1" ht="13.2">
      <c r="G1588" s="5"/>
      <c r="H1588" s="5"/>
      <c r="I1588" s="5"/>
      <c r="J1588" s="5"/>
    </row>
    <row r="1589" spans="1:239" customHeight="1" ht="13.2">
      <c r="G1589" s="5"/>
      <c r="H1589" s="5"/>
      <c r="I1589" s="5"/>
      <c r="J1589" s="5"/>
    </row>
    <row r="1590" spans="1:239" customHeight="1" ht="13.2">
      <c r="G1590" s="5"/>
      <c r="H1590" s="5"/>
      <c r="I1590" s="5"/>
      <c r="J1590" s="5"/>
    </row>
    <row r="1591" spans="1:239" customHeight="1" ht="13.2">
      <c r="G1591" s="5"/>
      <c r="H1591" s="5"/>
      <c r="I1591" s="5"/>
      <c r="J1591" s="5"/>
    </row>
    <row r="1592" spans="1:239" customHeight="1" ht="13.2">
      <c r="G1592" s="5"/>
      <c r="H1592" s="5"/>
      <c r="I1592" s="5"/>
      <c r="J1592" s="5"/>
    </row>
    <row r="1593" spans="1:239" customHeight="1" ht="13.2">
      <c r="G1593" s="5"/>
      <c r="H1593" s="5"/>
      <c r="I1593" s="5"/>
      <c r="J1593" s="5"/>
    </row>
    <row r="1594" spans="1:239" customHeight="1" ht="13.2">
      <c r="G1594" s="5"/>
      <c r="H1594" s="5"/>
      <c r="I1594" s="5"/>
      <c r="J1594" s="5"/>
    </row>
    <row r="1595" spans="1:239" customHeight="1" ht="13.2">
      <c r="G1595" s="5"/>
      <c r="H1595" s="5"/>
      <c r="I1595" s="5"/>
      <c r="J1595" s="5"/>
    </row>
    <row r="1596" spans="1:239" customHeight="1" ht="13.2">
      <c r="G1596" s="5"/>
      <c r="H1596" s="5"/>
      <c r="I1596" s="5"/>
      <c r="J1596" s="5"/>
    </row>
    <row r="1597" spans="1:239" customHeight="1" ht="13.2">
      <c r="G1597" s="5"/>
      <c r="H1597" s="5"/>
      <c r="I1597" s="5"/>
      <c r="J1597" s="5"/>
    </row>
    <row r="1598" spans="1:239" customHeight="1" ht="13.2">
      <c r="G1598" s="5"/>
      <c r="H1598" s="5"/>
      <c r="I1598" s="5"/>
      <c r="J1598" s="5"/>
    </row>
    <row r="1599" spans="1:239" customHeight="1" ht="13.2">
      <c r="G1599" s="5"/>
      <c r="H1599" s="5"/>
      <c r="I1599" s="5"/>
      <c r="J1599" s="5"/>
    </row>
    <row r="1600" spans="1:239" customHeight="1" ht="13.2">
      <c r="G1600" s="5"/>
      <c r="H1600" s="5"/>
      <c r="I1600" s="5"/>
      <c r="J1600" s="5"/>
    </row>
    <row r="1601" spans="1:239" customHeight="1" ht="13.2">
      <c r="G1601" s="5"/>
      <c r="H1601" s="5"/>
      <c r="I1601" s="5"/>
      <c r="J1601" s="5"/>
    </row>
    <row r="1602" spans="1:239" customHeight="1" ht="13.2">
      <c r="G1602" s="5"/>
      <c r="H1602" s="5"/>
      <c r="I1602" s="5"/>
      <c r="J1602" s="5"/>
    </row>
    <row r="1603" spans="1:239" customHeight="1" ht="13.2">
      <c r="G1603" s="5"/>
      <c r="H1603" s="5"/>
      <c r="I1603" s="5"/>
      <c r="J1603" s="5"/>
    </row>
    <row r="1604" spans="1:239" customHeight="1" ht="13.2">
      <c r="G1604" s="5"/>
      <c r="H1604" s="5"/>
      <c r="I1604" s="5"/>
      <c r="J1604" s="5"/>
    </row>
    <row r="1605" spans="1:239" customHeight="1" ht="13.2">
      <c r="G1605" s="5"/>
      <c r="H1605" s="5"/>
      <c r="I1605" s="5"/>
      <c r="J1605" s="5"/>
    </row>
    <row r="1606" spans="1:239" customHeight="1" ht="13.2">
      <c r="G1606" s="5"/>
      <c r="H1606" s="5"/>
      <c r="I1606" s="5"/>
      <c r="J1606" s="5"/>
    </row>
    <row r="1607" spans="1:239" customHeight="1" ht="13.2">
      <c r="G1607" s="5"/>
      <c r="H1607" s="5"/>
      <c r="I1607" s="5"/>
      <c r="J1607" s="5"/>
    </row>
    <row r="1608" spans="1:239" customHeight="1" ht="13.2">
      <c r="G1608" s="5"/>
      <c r="H1608" s="5"/>
      <c r="I1608" s="5"/>
      <c r="J1608" s="5"/>
    </row>
    <row r="1609" spans="1:239" customHeight="1" ht="13.2">
      <c r="G1609" s="5"/>
      <c r="H1609" s="5"/>
      <c r="I1609" s="5"/>
      <c r="J1609" s="5"/>
    </row>
    <row r="1610" spans="1:239" customHeight="1" ht="13.2">
      <c r="G1610" s="5"/>
      <c r="H1610" s="5"/>
      <c r="I1610" s="5"/>
      <c r="J1610" s="5"/>
    </row>
    <row r="1611" spans="1:239" customHeight="1" ht="13.2">
      <c r="G1611" s="5"/>
      <c r="H1611" s="5"/>
      <c r="I1611" s="5"/>
      <c r="J1611" s="5"/>
    </row>
    <row r="1612" spans="1:239" customHeight="1" ht="13.2">
      <c r="G1612" s="5"/>
      <c r="H1612" s="5"/>
      <c r="I1612" s="5"/>
      <c r="J1612" s="5"/>
    </row>
    <row r="1613" spans="1:239" customHeight="1" ht="13.2">
      <c r="G1613" s="5"/>
      <c r="H1613" s="5"/>
      <c r="I1613" s="5"/>
      <c r="J1613" s="5"/>
    </row>
    <row r="1614" spans="1:239" customHeight="1" ht="13.2">
      <c r="G1614" s="5"/>
      <c r="H1614" s="5"/>
      <c r="I1614" s="5"/>
      <c r="J1614" s="5"/>
    </row>
    <row r="1615" spans="1:239" customHeight="1" ht="13.2">
      <c r="G1615" s="5"/>
      <c r="H1615" s="5"/>
      <c r="I1615" s="5"/>
      <c r="J1615" s="5"/>
    </row>
    <row r="1616" spans="1:239" customHeight="1" ht="13.2">
      <c r="G1616" s="5"/>
      <c r="H1616" s="5"/>
      <c r="I1616" s="5"/>
      <c r="J1616" s="5"/>
    </row>
    <row r="1617" spans="1:239" customHeight="1" ht="13.2">
      <c r="G1617" s="5"/>
      <c r="H1617" s="5"/>
      <c r="I1617" s="5"/>
      <c r="J1617" s="5"/>
    </row>
    <row r="1618" spans="1:239" customHeight="1" ht="13.2">
      <c r="G1618" s="5"/>
      <c r="H1618" s="5"/>
      <c r="I1618" s="5"/>
      <c r="J1618" s="5"/>
    </row>
    <row r="1619" spans="1:239" customHeight="1" ht="13.2">
      <c r="G1619" s="5"/>
      <c r="H1619" s="5"/>
      <c r="I1619" s="5"/>
      <c r="J1619" s="5"/>
    </row>
    <row r="1620" spans="1:239" customHeight="1" ht="13.2">
      <c r="G1620" s="5"/>
      <c r="H1620" s="5"/>
      <c r="I1620" s="5"/>
      <c r="J1620" s="5"/>
    </row>
    <row r="1621" spans="1:239" customHeight="1" ht="13.2">
      <c r="G1621" s="5"/>
      <c r="H1621" s="5"/>
      <c r="I1621" s="5"/>
      <c r="J1621" s="5"/>
    </row>
    <row r="1622" spans="1:239" customHeight="1" ht="13.2">
      <c r="G1622" s="5"/>
      <c r="H1622" s="5"/>
      <c r="I1622" s="5"/>
      <c r="J1622" s="5"/>
    </row>
    <row r="1623" spans="1:239" customHeight="1" ht="13.2">
      <c r="G1623" s="5"/>
      <c r="H1623" s="5"/>
      <c r="I1623" s="5"/>
      <c r="J1623" s="5"/>
    </row>
    <row r="1624" spans="1:239" customHeight="1" ht="13.2">
      <c r="G1624" s="5"/>
      <c r="H1624" s="5"/>
      <c r="I1624" s="5"/>
      <c r="J1624" s="5"/>
    </row>
    <row r="1625" spans="1:239" customHeight="1" ht="13.2">
      <c r="G1625" s="5"/>
      <c r="H1625" s="5"/>
      <c r="I1625" s="5"/>
      <c r="J1625" s="5"/>
    </row>
    <row r="1626" spans="1:239" customHeight="1" ht="13.2">
      <c r="G1626" s="5"/>
      <c r="H1626" s="5"/>
      <c r="I1626" s="5"/>
      <c r="J1626" s="5"/>
    </row>
  </sheetData>
  <sheetProtection objects="1" scenarios="1" formatCells="1" formatColumns="1" formatRows="1" insertColumns="1" insertRows="1" insertHyperlinks="1" deleteColumns="1" deleteRows="1" sort="1" autoFilter="1" pivotTables="1" selectLockedCells="1" selectUnlockedCells="1"/>
  <mergeCells>
    <mergeCell ref="A1:M1"/>
    <mergeCell ref="A2:M2"/>
    <mergeCell ref="A255:B255"/>
    <mergeCell ref="B248:E248"/>
    <mergeCell ref="B249:E249"/>
    <mergeCell ref="B253:E253"/>
    <mergeCell ref="B254:E254"/>
    <mergeCell ref="K248:M248"/>
    <mergeCell ref="K249:M249"/>
    <mergeCell ref="K253:M253"/>
    <mergeCell ref="M47:M48"/>
    <mergeCell ref="B48:C48"/>
    <mergeCell ref="I47:K47"/>
    <mergeCell ref="K254:M254"/>
    <mergeCell ref="E134:G134"/>
    <mergeCell ref="I85:K85"/>
    <mergeCell ref="M85:M86"/>
    <mergeCell ref="B86:C86"/>
    <mergeCell ref="B87:C87"/>
    <mergeCell ref="B85:C85"/>
    <mergeCell ref="B13:C13"/>
    <mergeCell ref="B15:C15"/>
    <mergeCell ref="B24:C24"/>
    <mergeCell ref="B41:C41"/>
    <mergeCell ref="B50:C50"/>
    <mergeCell ref="B49:C49"/>
    <mergeCell ref="B23:C23"/>
    <mergeCell ref="B14:C14"/>
    <mergeCell ref="B16:C16"/>
    <mergeCell ref="B19:C19"/>
    <mergeCell ref="B4:C4"/>
    <mergeCell ref="I4:K4"/>
    <mergeCell ref="M4:M5"/>
    <mergeCell ref="B5:C5"/>
    <mergeCell ref="B47:C47"/>
    <mergeCell ref="E47:G47"/>
    <mergeCell ref="B9:C9"/>
    <mergeCell ref="C10:D10"/>
    <mergeCell ref="B40:C40"/>
    <mergeCell ref="B37:C37"/>
    <mergeCell ref="A47:A48"/>
    <mergeCell ref="A4:A5"/>
    <mergeCell ref="E4:G4"/>
    <mergeCell ref="B6:C6"/>
    <mergeCell ref="B8:C8"/>
    <mergeCell ref="B7:C7"/>
    <mergeCell ref="B11:C11"/>
    <mergeCell ref="B12:C12"/>
    <mergeCell ref="B39:C39"/>
    <mergeCell ref="B18:C18"/>
    <mergeCell ref="B35:C35"/>
    <mergeCell ref="B17:C17"/>
    <mergeCell ref="B22:C22"/>
    <mergeCell ref="B21:C21"/>
    <mergeCell ref="B20:C20"/>
    <mergeCell ref="E85:G85"/>
    <mergeCell ref="I134:K134"/>
    <mergeCell ref="M134:M135"/>
    <mergeCell ref="B135:C135"/>
    <mergeCell ref="A181:A182"/>
    <mergeCell ref="B181:C181"/>
    <mergeCell ref="E181:G181"/>
    <mergeCell ref="I181:K181"/>
    <mergeCell ref="M181:M182"/>
    <mergeCell ref="B182:C182"/>
    <mergeCell ref="B136:C136"/>
    <mergeCell ref="I222:K222"/>
    <mergeCell ref="M222:M223"/>
    <mergeCell ref="B223:C223"/>
    <mergeCell ref="B224:C224"/>
    <mergeCell ref="B222:C222"/>
    <mergeCell ref="E222:G222"/>
    <mergeCell ref="A246:B246"/>
    <mergeCell ref="B56:C56"/>
    <mergeCell ref="B95:C95"/>
    <mergeCell ref="B120:C120"/>
    <mergeCell ref="B216:C216"/>
    <mergeCell ref="B183:C183"/>
    <mergeCell ref="A222:A223"/>
    <mergeCell ref="A85:A86"/>
    <mergeCell ref="A134:A135"/>
    <mergeCell ref="B134:C134"/>
    <mergeCell ref="B230:C230"/>
    <mergeCell ref="B244:C244"/>
    <mergeCell ref="B34:C34"/>
    <mergeCell ref="B26:C26"/>
    <mergeCell ref="B28:C28"/>
    <mergeCell ref="B29:C29"/>
    <mergeCell ref="B30:C30"/>
    <mergeCell ref="B31:C31"/>
    <mergeCell ref="B38:C38"/>
    <mergeCell ref="B32:C32"/>
  </mergeCells>
  <printOptions gridLines="false" gridLinesSet="true" horizontalCentered="true" verticalCentered="true"/>
  <pageMargins left="0.25" right="0.25" top="0.75" bottom="0.75" header="0.3" footer="0.3"/>
  <pageSetup paperSize="5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98" man="1"/>
  </rowBreaks>
  <colBreaks count="1" manualBreakCount="1">
    <brk id="-1" man="1"/>
  </colBreaks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UPT serah sejak 53</vt:lpstr>
    </vt:vector>
  </TitlesOfParts>
  <Company>Junior Software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Lenovo IDEAPAD</cp:lastModifiedBy>
  <dcterms:created xsi:type="dcterms:W3CDTF">2010-02-03T01:42:13+00:00</dcterms:created>
  <dcterms:modified xsi:type="dcterms:W3CDTF">2026-09-11T05:42:16+00:00</dcterms:modified>
  <dc:title>Untitled Spreadsheet</dc:title>
  <dc:description/>
  <dc:subject/>
  <cp:keywords/>
  <cp:category/>
</cp:coreProperties>
</file>